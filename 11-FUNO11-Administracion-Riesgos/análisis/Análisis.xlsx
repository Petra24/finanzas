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a/Desktop/"/>
    </mc:Choice>
  </mc:AlternateContent>
  <xr:revisionPtr revIDLastSave="0" documentId="13_ncr:1_{084CD272-03BE-894E-9CEC-12D3F3CED792}" xr6:coauthVersionLast="47" xr6:coauthVersionMax="47" xr10:uidLastSave="{00000000-0000-0000-0000-000000000000}"/>
  <bookViews>
    <workbookView xWindow="3160" yWindow="2000" windowWidth="27640" windowHeight="16940" xr2:uid="{DF063F7F-76F0-3D40-A02D-4F4B6EA392DC}"/>
  </bookViews>
  <sheets>
    <sheet name="anális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/>
  <c r="J47" i="1"/>
  <c r="K47" i="1" s="1"/>
  <c r="F43" i="1"/>
  <c r="M24" i="1" a="1"/>
  <c r="M29" i="1" s="1"/>
  <c r="I22" i="1"/>
  <c r="E22" i="1"/>
  <c r="I21" i="1"/>
  <c r="E21" i="1"/>
  <c r="C19" i="1"/>
  <c r="D17" i="1"/>
  <c r="E16" i="1"/>
  <c r="D16" i="1"/>
  <c r="F16" i="1" s="1"/>
  <c r="E15" i="1"/>
  <c r="D15" i="1"/>
  <c r="F15" i="1" s="1"/>
  <c r="E14" i="1"/>
  <c r="D14" i="1"/>
  <c r="F14" i="1" s="1"/>
  <c r="E13" i="1"/>
  <c r="D13" i="1"/>
  <c r="F13" i="1" s="1"/>
  <c r="F12" i="1"/>
  <c r="E12" i="1"/>
  <c r="D12" i="1"/>
  <c r="F11" i="1"/>
  <c r="E11" i="1"/>
  <c r="D11" i="1"/>
  <c r="E10" i="1"/>
  <c r="D10" i="1"/>
  <c r="F10" i="1" s="1"/>
  <c r="F9" i="1"/>
  <c r="E9" i="1"/>
  <c r="D9" i="1"/>
  <c r="E8" i="1"/>
  <c r="D8" i="1"/>
  <c r="F8" i="1" s="1"/>
  <c r="E7" i="1"/>
  <c r="D7" i="1"/>
  <c r="F7" i="1" s="1"/>
  <c r="E6" i="1"/>
  <c r="D6" i="1"/>
  <c r="F6" i="1" s="1"/>
  <c r="E5" i="1"/>
  <c r="D5" i="1"/>
  <c r="F5" i="1" s="1"/>
  <c r="F4" i="1"/>
  <c r="E4" i="1"/>
  <c r="E20" i="1" s="1"/>
  <c r="D4" i="1"/>
  <c r="F60" i="1" l="1"/>
  <c r="D33" i="1"/>
  <c r="D83" i="1"/>
  <c r="C60" i="1"/>
  <c r="E27" i="1"/>
  <c r="D88" i="1"/>
  <c r="D80" i="1"/>
  <c r="E52" i="1"/>
  <c r="F52" i="1" s="1"/>
  <c r="D82" i="1"/>
  <c r="D87" i="1"/>
  <c r="B75" i="1"/>
  <c r="D84" i="1"/>
  <c r="I60" i="1"/>
  <c r="F20" i="1"/>
  <c r="D86" i="1" s="1"/>
  <c r="E24" i="1"/>
  <c r="B76" i="1" s="1"/>
  <c r="C76" i="1" s="1"/>
  <c r="F22" i="1"/>
  <c r="F82" i="1" s="1"/>
  <c r="E82" i="1" s="1"/>
  <c r="F21" i="1"/>
  <c r="F86" i="1"/>
  <c r="E86" i="1" s="1"/>
  <c r="M25" i="1"/>
  <c r="M26" i="1"/>
  <c r="M27" i="1"/>
  <c r="M28" i="1"/>
  <c r="F87" i="1"/>
  <c r="E87" i="1" s="1"/>
  <c r="M24" i="1"/>
  <c r="F83" i="1"/>
  <c r="E83" i="1" s="1"/>
  <c r="C61" i="1" l="1"/>
  <c r="C62" i="1" s="1"/>
  <c r="C63" i="1" s="1"/>
  <c r="C64" i="1" s="1"/>
  <c r="C65" i="1" s="1"/>
  <c r="C66" i="1" s="1"/>
  <c r="C67" i="1" s="1"/>
  <c r="C68" i="1" s="1"/>
  <c r="C69" i="1" s="1"/>
  <c r="C70" i="1" s="1"/>
  <c r="F84" i="1"/>
  <c r="E84" i="1" s="1"/>
  <c r="I61" i="1"/>
  <c r="I62" i="1" s="1"/>
  <c r="I63" i="1" s="1"/>
  <c r="I64" i="1" s="1"/>
  <c r="I65" i="1" s="1"/>
  <c r="I66" i="1" s="1"/>
  <c r="I67" i="1" s="1"/>
  <c r="I68" i="1" s="1"/>
  <c r="I69" i="1" s="1"/>
  <c r="I70" i="1" s="1"/>
  <c r="F80" i="1"/>
  <c r="E80" i="1" s="1"/>
  <c r="F88" i="1"/>
  <c r="E88" i="1" s="1"/>
  <c r="F85" i="1"/>
  <c r="E85" i="1" s="1"/>
  <c r="F81" i="1"/>
  <c r="E81" i="1" s="1"/>
  <c r="D85" i="1"/>
  <c r="F61" i="1"/>
  <c r="F62" i="1" s="1"/>
  <c r="F63" i="1" s="1"/>
  <c r="F64" i="1" s="1"/>
  <c r="F65" i="1" s="1"/>
  <c r="F66" i="1" s="1"/>
  <c r="F67" i="1" s="1"/>
  <c r="F68" i="1" s="1"/>
  <c r="F69" i="1" s="1"/>
  <c r="F70" i="1" s="1"/>
  <c r="D81" i="1"/>
  <c r="I72" i="1" l="1"/>
  <c r="F72" i="1"/>
  <c r="C72" i="1"/>
</calcChain>
</file>

<file path=xl/sharedStrings.xml><?xml version="1.0" encoding="utf-8"?>
<sst xmlns="http://schemas.openxmlformats.org/spreadsheetml/2006/main" count="65" uniqueCount="51">
  <si>
    <t>FUNO11</t>
  </si>
  <si>
    <t>CETES</t>
  </si>
  <si>
    <t>Fecha</t>
  </si>
  <si>
    <t>Precio</t>
  </si>
  <si>
    <t>tasa</t>
  </si>
  <si>
    <t>rend 1</t>
  </si>
  <si>
    <t>rend 2</t>
  </si>
  <si>
    <t>CETES28</t>
  </si>
  <si>
    <t>Promedio</t>
  </si>
  <si>
    <t>Calculo distribucioon de rendimientos</t>
  </si>
  <si>
    <t>Varianza</t>
  </si>
  <si>
    <t>Rango</t>
  </si>
  <si>
    <t>desviacion estandar</t>
  </si>
  <si>
    <t>intervalos</t>
  </si>
  <si>
    <t>Intervalo</t>
  </si>
  <si>
    <t>limite superior</t>
  </si>
  <si>
    <t>frecuencia</t>
  </si>
  <si>
    <t>Covarianza</t>
  </si>
  <si>
    <t>8% a 5%</t>
  </si>
  <si>
    <t>5% a 2%</t>
  </si>
  <si>
    <t>2% a 0%</t>
  </si>
  <si>
    <t>SHARP</t>
  </si>
  <si>
    <t>0% a -3%</t>
  </si>
  <si>
    <t>-3% a -7%</t>
  </si>
  <si>
    <t>Calculo de VAR</t>
  </si>
  <si>
    <t>CONFIANZA</t>
  </si>
  <si>
    <t>VaR</t>
  </si>
  <si>
    <t>Calculo de CVaR</t>
  </si>
  <si>
    <t>Confianza</t>
  </si>
  <si>
    <t>error</t>
  </si>
  <si>
    <t>datos</t>
  </si>
  <si>
    <t xml:space="preserve">entonces </t>
  </si>
  <si>
    <t>5% de mis 13 datos</t>
  </si>
  <si>
    <t>13 datos</t>
  </si>
  <si>
    <t xml:space="preserve">por lo tanto </t>
  </si>
  <si>
    <t xml:space="preserve">Drawdown </t>
  </si>
  <si>
    <t>$ actual</t>
  </si>
  <si>
    <t>$ maximo historico</t>
  </si>
  <si>
    <t>cvar</t>
  </si>
  <si>
    <t>Simulacion monte carlo</t>
  </si>
  <si>
    <t>precio</t>
  </si>
  <si>
    <t>Num periodos</t>
  </si>
  <si>
    <t>12 semanas</t>
  </si>
  <si>
    <t>Num simulaciones</t>
  </si>
  <si>
    <t>gEnerar uun valor Z para cada periodo N(0,1)</t>
  </si>
  <si>
    <t>"INV.NORM.ESTAND(ALEATORIO())'</t>
  </si>
  <si>
    <t>calculo de frontera eficiente</t>
  </si>
  <si>
    <t>e(rp)</t>
  </si>
  <si>
    <t>% de inversion</t>
  </si>
  <si>
    <t>redimiento</t>
  </si>
  <si>
    <t>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</si>
</sst>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0000"/>
    <numFmt numFmtId="165" formatCode="0.0E+0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color indexed="63"/>
      <name val="Helvetica"/>
      <family val="2"/>
    </font>
    <font>
      <sz val="12"/>
      <name val="Helvetica"/>
      <family val="2"/>
    </font>
    <font>
      <sz val="12"/>
      <color indexed="8"/>
      <name val="Calibri"/>
      <family val="2"/>
    </font>
    <font>
      <b/>
      <sz val="12"/>
      <color indexed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51"/>
      </patternFill>
    </fill>
    <fill>
      <patternFill patternType="solid">
        <fgColor indexed="26"/>
        <bgColor indexed="26"/>
      </patternFill>
    </fill>
    <fill>
      <patternFill patternType="solid">
        <fgColor indexed="1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43"/>
      </left>
      <right/>
      <top style="thin">
        <color indexed="43"/>
      </top>
      <bottom/>
      <diagonal/>
    </border>
    <border>
      <left/>
      <right style="thin">
        <color indexed="43"/>
      </right>
      <top style="thin">
        <color indexed="43"/>
      </top>
      <bottom/>
      <diagonal/>
    </border>
    <border>
      <left style="thin">
        <color indexed="43"/>
      </left>
      <right/>
      <top style="thin">
        <color indexed="43"/>
      </top>
      <bottom style="thin">
        <color indexed="43"/>
      </bottom>
      <diagonal/>
    </border>
    <border>
      <left/>
      <right style="thin">
        <color indexed="43"/>
      </right>
      <top style="thin">
        <color indexed="43"/>
      </top>
      <bottom style="thin">
        <color indexed="43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3" fillId="0" borderId="0" xfId="0" applyNumberFormat="1" applyFont="1"/>
    <xf numFmtId="0" fontId="4" fillId="0" borderId="0" xfId="0" applyFont="1"/>
    <xf numFmtId="2" fontId="2" fillId="0" borderId="0" xfId="0" applyNumberFormat="1" applyFont="1" applyAlignment="1">
      <alignment horizontal="center" vertical="center"/>
    </xf>
    <xf numFmtId="164" fontId="2" fillId="0" borderId="0" xfId="2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2" fontId="4" fillId="0" borderId="0" xfId="0" applyNumberFormat="1" applyFont="1"/>
    <xf numFmtId="10" fontId="0" fillId="0" borderId="0" xfId="2" applyNumberFormat="1" applyFont="1" applyFill="1" applyAlignment="1">
      <alignment horizontal="center" vertical="center"/>
    </xf>
    <xf numFmtId="14" fontId="3" fillId="2" borderId="0" xfId="0" applyNumberFormat="1" applyFont="1" applyFill="1"/>
    <xf numFmtId="0" fontId="4" fillId="2" borderId="0" xfId="0" applyFont="1" applyFill="1"/>
    <xf numFmtId="2" fontId="2" fillId="2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10" fontId="0" fillId="3" borderId="0" xfId="2" applyNumberFormat="1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0" fontId="2" fillId="0" borderId="0" xfId="2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0" borderId="0" xfId="0" applyFont="1"/>
    <xf numFmtId="14" fontId="3" fillId="6" borderId="1" xfId="0" applyNumberFormat="1" applyFont="1" applyFill="1" applyBorder="1" applyAlignment="1">
      <alignment horizontal="center" vertical="center"/>
    </xf>
    <xf numFmtId="10" fontId="4" fillId="7" borderId="2" xfId="2" applyNumberFormat="1" applyFont="1" applyFill="1" applyBorder="1" applyAlignment="1">
      <alignment horizontal="center" vertical="center"/>
    </xf>
    <xf numFmtId="49" fontId="0" fillId="0" borderId="0" xfId="0" applyNumberFormat="1"/>
    <xf numFmtId="9" fontId="0" fillId="0" borderId="0" xfId="0" applyNumberFormat="1"/>
    <xf numFmtId="14" fontId="3" fillId="0" borderId="1" xfId="0" applyNumberFormat="1" applyFont="1" applyBorder="1" applyAlignment="1">
      <alignment horizontal="center" vertical="center"/>
    </xf>
    <xf numFmtId="10" fontId="4" fillId="0" borderId="2" xfId="2" applyNumberFormat="1" applyFont="1" applyBorder="1" applyAlignment="1">
      <alignment horizontal="center" vertical="center"/>
    </xf>
    <xf numFmtId="10" fontId="4" fillId="6" borderId="2" xfId="2" applyNumberFormat="1" applyFont="1" applyFill="1" applyBorder="1" applyAlignment="1">
      <alignment horizontal="center" vertical="center"/>
    </xf>
    <xf numFmtId="164" fontId="2" fillId="8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0" fillId="3" borderId="0" xfId="0" applyFill="1"/>
    <xf numFmtId="9" fontId="0" fillId="3" borderId="0" xfId="2" applyFont="1" applyFill="1"/>
    <xf numFmtId="2" fontId="0" fillId="3" borderId="0" xfId="0" applyNumberFormat="1" applyFill="1"/>
    <xf numFmtId="164" fontId="0" fillId="0" borderId="0" xfId="2" applyNumberFormat="1" applyFont="1"/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4" fontId="3" fillId="6" borderId="3" xfId="0" applyNumberFormat="1" applyFont="1" applyFill="1" applyBorder="1" applyAlignment="1">
      <alignment horizontal="center" vertical="center"/>
    </xf>
    <xf numFmtId="10" fontId="4" fillId="9" borderId="4" xfId="2" applyNumberFormat="1" applyFont="1" applyFill="1" applyBorder="1" applyAlignment="1">
      <alignment horizontal="center" vertical="center"/>
    </xf>
    <xf numFmtId="10" fontId="4" fillId="9" borderId="2" xfId="2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9" fontId="0" fillId="0" borderId="0" xfId="2" applyFont="1"/>
    <xf numFmtId="49" fontId="0" fillId="0" borderId="0" xfId="2" applyNumberFormat="1" applyFont="1"/>
    <xf numFmtId="1" fontId="0" fillId="4" borderId="0" xfId="2" applyNumberFormat="1" applyFont="1" applyFill="1" applyAlignment="1"/>
    <xf numFmtId="10" fontId="0" fillId="0" borderId="0" xfId="2" applyNumberFormat="1" applyFont="1"/>
    <xf numFmtId="164" fontId="2" fillId="0" borderId="0" xfId="2" applyNumberFormat="1" applyFont="1" applyFill="1" applyAlignment="1">
      <alignment horizontal="center" vertical="center"/>
    </xf>
    <xf numFmtId="10" fontId="2" fillId="10" borderId="0" xfId="2" applyNumberFormat="1" applyFont="1" applyFill="1" applyAlignment="1">
      <alignment horizontal="center" vertical="center"/>
    </xf>
    <xf numFmtId="49" fontId="0" fillId="0" borderId="0" xfId="2" applyNumberFormat="1" applyFont="1" applyFill="1"/>
    <xf numFmtId="44" fontId="4" fillId="0" borderId="0" xfId="1" applyFont="1"/>
    <xf numFmtId="1" fontId="2" fillId="0" borderId="0" xfId="0" applyNumberFormat="1" applyFont="1" applyAlignment="1">
      <alignment horizontal="center" vertical="center"/>
    </xf>
    <xf numFmtId="44" fontId="0" fillId="0" borderId="0" xfId="1" applyFont="1"/>
    <xf numFmtId="2" fontId="0" fillId="0" borderId="0" xfId="0" applyNumberFormat="1"/>
    <xf numFmtId="44" fontId="0" fillId="0" borderId="0" xfId="1" applyFont="1" applyAlignment="1"/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2" applyNumberFormat="1" applyFont="1" applyAlignment="1">
      <alignment horizontal="center"/>
    </xf>
    <xf numFmtId="10" fontId="0" fillId="0" borderId="0" xfId="2" applyNumberFormat="1" applyFont="1" applyAlignment="1">
      <alignment horizontal="center"/>
    </xf>
    <xf numFmtId="165" fontId="0" fillId="0" borderId="0" xfId="0" applyNumberFormat="1"/>
    <xf numFmtId="2" fontId="0" fillId="0" borderId="0" xfId="0" applyNumberForma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520700</xdr:colOff>
      <xdr:row>18</xdr:row>
      <xdr:rowOff>165100</xdr:rowOff>
    </xdr:from>
    <xdr:to>
      <xdr:col>13</xdr:col>
      <xdr:colOff>546100</xdr:colOff>
      <xdr:row>37</xdr:row>
      <xdr:rowOff>152400</xdr:rowOff>
    </xdr:to>
    <xdr:sp macro="" textlink="">
      <xdr:nvSpPr>
        <xdr:cNvPr id="2" name="Rectángulo 13">
          <a:extLst>
            <a:ext uri="{FF2B5EF4-FFF2-40B4-BE49-F238E27FC236}">
              <a16:creationId xmlns:a16="http://schemas.microsoft.com/office/drawing/2014/main" id="{22AF45DC-16F3-7C47-8D39-5B0ABC80B463}"/>
            </a:ext>
          </a:extLst>
        </xdr:cNvPr>
        <xdr:cNvSpPr>
          <a:spLocks noChangeArrowheads="1"/>
        </xdr:cNvSpPr>
      </xdr:nvSpPr>
      <xdr:spPr bwMode="auto">
        <a:xfrm>
          <a:off x="6299200" y="3835400"/>
          <a:ext cx="6299200" cy="4114800"/>
        </a:xfrm>
        <a:prstGeom prst="rect">
          <a:avLst/>
        </a:prstGeom>
        <a:noFill/>
        <a:ln w="17145" cap="flat">
          <a:solidFill>
            <a:srgbClr xmlns:mc="http://schemas.openxmlformats.org/markup-compatibility/2006" xmlns:a14="http://schemas.microsoft.com/office/drawing/2010/main" val="003366" mc:Ignorable="a14" a14:legacySpreadsheetColorIndex="56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8C4C-352F-5D43-B0AF-E84DA7665837}">
  <dimension ref="A2:N194"/>
  <sheetViews>
    <sheetView tabSelected="1" workbookViewId="0">
      <selection activeCell="N9" sqref="N9"/>
    </sheetView>
  </sheetViews>
  <sheetFormatPr baseColWidth="10" defaultRowHeight="16" x14ac:dyDescent="0.2"/>
  <cols>
    <col min="2" max="2" width="9.5" customWidth="1"/>
    <col min="3" max="3" width="12.5" customWidth="1"/>
    <col min="4" max="4" width="11.6640625" customWidth="1"/>
    <col min="5" max="5" width="17.33203125" style="2" bestFit="1" customWidth="1"/>
    <col min="6" max="6" width="14" style="2" customWidth="1"/>
    <col min="7" max="7" width="12.83203125" style="2" customWidth="1"/>
    <col min="8" max="8" width="11.33203125" style="2" customWidth="1"/>
    <col min="9" max="9" width="11.6640625" style="2" customWidth="1"/>
    <col min="10" max="10" width="12" customWidth="1"/>
    <col min="12" max="12" width="13.6640625" customWidth="1"/>
    <col min="13" max="13" width="10" customWidth="1"/>
    <col min="258" max="258" width="9.5" customWidth="1"/>
    <col min="259" max="259" width="12.5" customWidth="1"/>
    <col min="260" max="260" width="11.6640625" customWidth="1"/>
    <col min="261" max="261" width="17.33203125" bestFit="1" customWidth="1"/>
    <col min="262" max="262" width="14" customWidth="1"/>
    <col min="263" max="263" width="12.83203125" customWidth="1"/>
    <col min="264" max="264" width="11.33203125" customWidth="1"/>
    <col min="265" max="265" width="11.6640625" customWidth="1"/>
    <col min="266" max="266" width="12" customWidth="1"/>
    <col min="268" max="268" width="13.6640625" customWidth="1"/>
    <col min="269" max="269" width="10" customWidth="1"/>
    <col min="514" max="514" width="9.5" customWidth="1"/>
    <col min="515" max="515" width="12.5" customWidth="1"/>
    <col min="516" max="516" width="11.6640625" customWidth="1"/>
    <col min="517" max="517" width="17.33203125" bestFit="1" customWidth="1"/>
    <col min="518" max="518" width="14" customWidth="1"/>
    <col min="519" max="519" width="12.83203125" customWidth="1"/>
    <col min="520" max="520" width="11.33203125" customWidth="1"/>
    <col min="521" max="521" width="11.6640625" customWidth="1"/>
    <col min="522" max="522" width="12" customWidth="1"/>
    <col min="524" max="524" width="13.6640625" customWidth="1"/>
    <col min="525" max="525" width="10" customWidth="1"/>
    <col min="770" max="770" width="9.5" customWidth="1"/>
    <col min="771" max="771" width="12.5" customWidth="1"/>
    <col min="772" max="772" width="11.6640625" customWidth="1"/>
    <col min="773" max="773" width="17.33203125" bestFit="1" customWidth="1"/>
    <col min="774" max="774" width="14" customWidth="1"/>
    <col min="775" max="775" width="12.83203125" customWidth="1"/>
    <col min="776" max="776" width="11.33203125" customWidth="1"/>
    <col min="777" max="777" width="11.6640625" customWidth="1"/>
    <col min="778" max="778" width="12" customWidth="1"/>
    <col min="780" max="780" width="13.6640625" customWidth="1"/>
    <col min="781" max="781" width="10" customWidth="1"/>
    <col min="1026" max="1026" width="9.5" customWidth="1"/>
    <col min="1027" max="1027" width="12.5" customWidth="1"/>
    <col min="1028" max="1028" width="11.6640625" customWidth="1"/>
    <col min="1029" max="1029" width="17.33203125" bestFit="1" customWidth="1"/>
    <col min="1030" max="1030" width="14" customWidth="1"/>
    <col min="1031" max="1031" width="12.83203125" customWidth="1"/>
    <col min="1032" max="1032" width="11.33203125" customWidth="1"/>
    <col min="1033" max="1033" width="11.6640625" customWidth="1"/>
    <col min="1034" max="1034" width="12" customWidth="1"/>
    <col min="1036" max="1036" width="13.6640625" customWidth="1"/>
    <col min="1037" max="1037" width="10" customWidth="1"/>
    <col min="1282" max="1282" width="9.5" customWidth="1"/>
    <col min="1283" max="1283" width="12.5" customWidth="1"/>
    <col min="1284" max="1284" width="11.6640625" customWidth="1"/>
    <col min="1285" max="1285" width="17.33203125" bestFit="1" customWidth="1"/>
    <col min="1286" max="1286" width="14" customWidth="1"/>
    <col min="1287" max="1287" width="12.83203125" customWidth="1"/>
    <col min="1288" max="1288" width="11.33203125" customWidth="1"/>
    <col min="1289" max="1289" width="11.6640625" customWidth="1"/>
    <col min="1290" max="1290" width="12" customWidth="1"/>
    <col min="1292" max="1292" width="13.6640625" customWidth="1"/>
    <col min="1293" max="1293" width="10" customWidth="1"/>
    <col min="1538" max="1538" width="9.5" customWidth="1"/>
    <col min="1539" max="1539" width="12.5" customWidth="1"/>
    <col min="1540" max="1540" width="11.6640625" customWidth="1"/>
    <col min="1541" max="1541" width="17.33203125" bestFit="1" customWidth="1"/>
    <col min="1542" max="1542" width="14" customWidth="1"/>
    <col min="1543" max="1543" width="12.83203125" customWidth="1"/>
    <col min="1544" max="1544" width="11.33203125" customWidth="1"/>
    <col min="1545" max="1545" width="11.6640625" customWidth="1"/>
    <col min="1546" max="1546" width="12" customWidth="1"/>
    <col min="1548" max="1548" width="13.6640625" customWidth="1"/>
    <col min="1549" max="1549" width="10" customWidth="1"/>
    <col min="1794" max="1794" width="9.5" customWidth="1"/>
    <col min="1795" max="1795" width="12.5" customWidth="1"/>
    <col min="1796" max="1796" width="11.6640625" customWidth="1"/>
    <col min="1797" max="1797" width="17.33203125" bestFit="1" customWidth="1"/>
    <col min="1798" max="1798" width="14" customWidth="1"/>
    <col min="1799" max="1799" width="12.83203125" customWidth="1"/>
    <col min="1800" max="1800" width="11.33203125" customWidth="1"/>
    <col min="1801" max="1801" width="11.6640625" customWidth="1"/>
    <col min="1802" max="1802" width="12" customWidth="1"/>
    <col min="1804" max="1804" width="13.6640625" customWidth="1"/>
    <col min="1805" max="1805" width="10" customWidth="1"/>
    <col min="2050" max="2050" width="9.5" customWidth="1"/>
    <col min="2051" max="2051" width="12.5" customWidth="1"/>
    <col min="2052" max="2052" width="11.6640625" customWidth="1"/>
    <col min="2053" max="2053" width="17.33203125" bestFit="1" customWidth="1"/>
    <col min="2054" max="2054" width="14" customWidth="1"/>
    <col min="2055" max="2055" width="12.83203125" customWidth="1"/>
    <col min="2056" max="2056" width="11.33203125" customWidth="1"/>
    <col min="2057" max="2057" width="11.6640625" customWidth="1"/>
    <col min="2058" max="2058" width="12" customWidth="1"/>
    <col min="2060" max="2060" width="13.6640625" customWidth="1"/>
    <col min="2061" max="2061" width="10" customWidth="1"/>
    <col min="2306" max="2306" width="9.5" customWidth="1"/>
    <col min="2307" max="2307" width="12.5" customWidth="1"/>
    <col min="2308" max="2308" width="11.6640625" customWidth="1"/>
    <col min="2309" max="2309" width="17.33203125" bestFit="1" customWidth="1"/>
    <col min="2310" max="2310" width="14" customWidth="1"/>
    <col min="2311" max="2311" width="12.83203125" customWidth="1"/>
    <col min="2312" max="2312" width="11.33203125" customWidth="1"/>
    <col min="2313" max="2313" width="11.6640625" customWidth="1"/>
    <col min="2314" max="2314" width="12" customWidth="1"/>
    <col min="2316" max="2316" width="13.6640625" customWidth="1"/>
    <col min="2317" max="2317" width="10" customWidth="1"/>
    <col min="2562" max="2562" width="9.5" customWidth="1"/>
    <col min="2563" max="2563" width="12.5" customWidth="1"/>
    <col min="2564" max="2564" width="11.6640625" customWidth="1"/>
    <col min="2565" max="2565" width="17.33203125" bestFit="1" customWidth="1"/>
    <col min="2566" max="2566" width="14" customWidth="1"/>
    <col min="2567" max="2567" width="12.83203125" customWidth="1"/>
    <col min="2568" max="2568" width="11.33203125" customWidth="1"/>
    <col min="2569" max="2569" width="11.6640625" customWidth="1"/>
    <col min="2570" max="2570" width="12" customWidth="1"/>
    <col min="2572" max="2572" width="13.6640625" customWidth="1"/>
    <col min="2573" max="2573" width="10" customWidth="1"/>
    <col min="2818" max="2818" width="9.5" customWidth="1"/>
    <col min="2819" max="2819" width="12.5" customWidth="1"/>
    <col min="2820" max="2820" width="11.6640625" customWidth="1"/>
    <col min="2821" max="2821" width="17.33203125" bestFit="1" customWidth="1"/>
    <col min="2822" max="2822" width="14" customWidth="1"/>
    <col min="2823" max="2823" width="12.83203125" customWidth="1"/>
    <col min="2824" max="2824" width="11.33203125" customWidth="1"/>
    <col min="2825" max="2825" width="11.6640625" customWidth="1"/>
    <col min="2826" max="2826" width="12" customWidth="1"/>
    <col min="2828" max="2828" width="13.6640625" customWidth="1"/>
    <col min="2829" max="2829" width="10" customWidth="1"/>
    <col min="3074" max="3074" width="9.5" customWidth="1"/>
    <col min="3075" max="3075" width="12.5" customWidth="1"/>
    <col min="3076" max="3076" width="11.6640625" customWidth="1"/>
    <col min="3077" max="3077" width="17.33203125" bestFit="1" customWidth="1"/>
    <col min="3078" max="3078" width="14" customWidth="1"/>
    <col min="3079" max="3079" width="12.83203125" customWidth="1"/>
    <col min="3080" max="3080" width="11.33203125" customWidth="1"/>
    <col min="3081" max="3081" width="11.6640625" customWidth="1"/>
    <col min="3082" max="3082" width="12" customWidth="1"/>
    <col min="3084" max="3084" width="13.6640625" customWidth="1"/>
    <col min="3085" max="3085" width="10" customWidth="1"/>
    <col min="3330" max="3330" width="9.5" customWidth="1"/>
    <col min="3331" max="3331" width="12.5" customWidth="1"/>
    <col min="3332" max="3332" width="11.6640625" customWidth="1"/>
    <col min="3333" max="3333" width="17.33203125" bestFit="1" customWidth="1"/>
    <col min="3334" max="3334" width="14" customWidth="1"/>
    <col min="3335" max="3335" width="12.83203125" customWidth="1"/>
    <col min="3336" max="3336" width="11.33203125" customWidth="1"/>
    <col min="3337" max="3337" width="11.6640625" customWidth="1"/>
    <col min="3338" max="3338" width="12" customWidth="1"/>
    <col min="3340" max="3340" width="13.6640625" customWidth="1"/>
    <col min="3341" max="3341" width="10" customWidth="1"/>
    <col min="3586" max="3586" width="9.5" customWidth="1"/>
    <col min="3587" max="3587" width="12.5" customWidth="1"/>
    <col min="3588" max="3588" width="11.6640625" customWidth="1"/>
    <col min="3589" max="3589" width="17.33203125" bestFit="1" customWidth="1"/>
    <col min="3590" max="3590" width="14" customWidth="1"/>
    <col min="3591" max="3591" width="12.83203125" customWidth="1"/>
    <col min="3592" max="3592" width="11.33203125" customWidth="1"/>
    <col min="3593" max="3593" width="11.6640625" customWidth="1"/>
    <col min="3594" max="3594" width="12" customWidth="1"/>
    <col min="3596" max="3596" width="13.6640625" customWidth="1"/>
    <col min="3597" max="3597" width="10" customWidth="1"/>
    <col min="3842" max="3842" width="9.5" customWidth="1"/>
    <col min="3843" max="3843" width="12.5" customWidth="1"/>
    <col min="3844" max="3844" width="11.6640625" customWidth="1"/>
    <col min="3845" max="3845" width="17.33203125" bestFit="1" customWidth="1"/>
    <col min="3846" max="3846" width="14" customWidth="1"/>
    <col min="3847" max="3847" width="12.83203125" customWidth="1"/>
    <col min="3848" max="3848" width="11.33203125" customWidth="1"/>
    <col min="3849" max="3849" width="11.6640625" customWidth="1"/>
    <col min="3850" max="3850" width="12" customWidth="1"/>
    <col min="3852" max="3852" width="13.6640625" customWidth="1"/>
    <col min="3853" max="3853" width="10" customWidth="1"/>
    <col min="4098" max="4098" width="9.5" customWidth="1"/>
    <col min="4099" max="4099" width="12.5" customWidth="1"/>
    <col min="4100" max="4100" width="11.6640625" customWidth="1"/>
    <col min="4101" max="4101" width="17.33203125" bestFit="1" customWidth="1"/>
    <col min="4102" max="4102" width="14" customWidth="1"/>
    <col min="4103" max="4103" width="12.83203125" customWidth="1"/>
    <col min="4104" max="4104" width="11.33203125" customWidth="1"/>
    <col min="4105" max="4105" width="11.6640625" customWidth="1"/>
    <col min="4106" max="4106" width="12" customWidth="1"/>
    <col min="4108" max="4108" width="13.6640625" customWidth="1"/>
    <col min="4109" max="4109" width="10" customWidth="1"/>
    <col min="4354" max="4354" width="9.5" customWidth="1"/>
    <col min="4355" max="4355" width="12.5" customWidth="1"/>
    <col min="4356" max="4356" width="11.6640625" customWidth="1"/>
    <col min="4357" max="4357" width="17.33203125" bestFit="1" customWidth="1"/>
    <col min="4358" max="4358" width="14" customWidth="1"/>
    <col min="4359" max="4359" width="12.83203125" customWidth="1"/>
    <col min="4360" max="4360" width="11.33203125" customWidth="1"/>
    <col min="4361" max="4361" width="11.6640625" customWidth="1"/>
    <col min="4362" max="4362" width="12" customWidth="1"/>
    <col min="4364" max="4364" width="13.6640625" customWidth="1"/>
    <col min="4365" max="4365" width="10" customWidth="1"/>
    <col min="4610" max="4610" width="9.5" customWidth="1"/>
    <col min="4611" max="4611" width="12.5" customWidth="1"/>
    <col min="4612" max="4612" width="11.6640625" customWidth="1"/>
    <col min="4613" max="4613" width="17.33203125" bestFit="1" customWidth="1"/>
    <col min="4614" max="4614" width="14" customWidth="1"/>
    <col min="4615" max="4615" width="12.83203125" customWidth="1"/>
    <col min="4616" max="4616" width="11.33203125" customWidth="1"/>
    <col min="4617" max="4617" width="11.6640625" customWidth="1"/>
    <col min="4618" max="4618" width="12" customWidth="1"/>
    <col min="4620" max="4620" width="13.6640625" customWidth="1"/>
    <col min="4621" max="4621" width="10" customWidth="1"/>
    <col min="4866" max="4866" width="9.5" customWidth="1"/>
    <col min="4867" max="4867" width="12.5" customWidth="1"/>
    <col min="4868" max="4868" width="11.6640625" customWidth="1"/>
    <col min="4869" max="4869" width="17.33203125" bestFit="1" customWidth="1"/>
    <col min="4870" max="4870" width="14" customWidth="1"/>
    <col min="4871" max="4871" width="12.83203125" customWidth="1"/>
    <col min="4872" max="4872" width="11.33203125" customWidth="1"/>
    <col min="4873" max="4873" width="11.6640625" customWidth="1"/>
    <col min="4874" max="4874" width="12" customWidth="1"/>
    <col min="4876" max="4876" width="13.6640625" customWidth="1"/>
    <col min="4877" max="4877" width="10" customWidth="1"/>
    <col min="5122" max="5122" width="9.5" customWidth="1"/>
    <col min="5123" max="5123" width="12.5" customWidth="1"/>
    <col min="5124" max="5124" width="11.6640625" customWidth="1"/>
    <col min="5125" max="5125" width="17.33203125" bestFit="1" customWidth="1"/>
    <col min="5126" max="5126" width="14" customWidth="1"/>
    <col min="5127" max="5127" width="12.83203125" customWidth="1"/>
    <col min="5128" max="5128" width="11.33203125" customWidth="1"/>
    <col min="5129" max="5129" width="11.6640625" customWidth="1"/>
    <col min="5130" max="5130" width="12" customWidth="1"/>
    <col min="5132" max="5132" width="13.6640625" customWidth="1"/>
    <col min="5133" max="5133" width="10" customWidth="1"/>
    <col min="5378" max="5378" width="9.5" customWidth="1"/>
    <col min="5379" max="5379" width="12.5" customWidth="1"/>
    <col min="5380" max="5380" width="11.6640625" customWidth="1"/>
    <col min="5381" max="5381" width="17.33203125" bestFit="1" customWidth="1"/>
    <col min="5382" max="5382" width="14" customWidth="1"/>
    <col min="5383" max="5383" width="12.83203125" customWidth="1"/>
    <col min="5384" max="5384" width="11.33203125" customWidth="1"/>
    <col min="5385" max="5385" width="11.6640625" customWidth="1"/>
    <col min="5386" max="5386" width="12" customWidth="1"/>
    <col min="5388" max="5388" width="13.6640625" customWidth="1"/>
    <col min="5389" max="5389" width="10" customWidth="1"/>
    <col min="5634" max="5634" width="9.5" customWidth="1"/>
    <col min="5635" max="5635" width="12.5" customWidth="1"/>
    <col min="5636" max="5636" width="11.6640625" customWidth="1"/>
    <col min="5637" max="5637" width="17.33203125" bestFit="1" customWidth="1"/>
    <col min="5638" max="5638" width="14" customWidth="1"/>
    <col min="5639" max="5639" width="12.83203125" customWidth="1"/>
    <col min="5640" max="5640" width="11.33203125" customWidth="1"/>
    <col min="5641" max="5641" width="11.6640625" customWidth="1"/>
    <col min="5642" max="5642" width="12" customWidth="1"/>
    <col min="5644" max="5644" width="13.6640625" customWidth="1"/>
    <col min="5645" max="5645" width="10" customWidth="1"/>
    <col min="5890" max="5890" width="9.5" customWidth="1"/>
    <col min="5891" max="5891" width="12.5" customWidth="1"/>
    <col min="5892" max="5892" width="11.6640625" customWidth="1"/>
    <col min="5893" max="5893" width="17.33203125" bestFit="1" customWidth="1"/>
    <col min="5894" max="5894" width="14" customWidth="1"/>
    <col min="5895" max="5895" width="12.83203125" customWidth="1"/>
    <col min="5896" max="5896" width="11.33203125" customWidth="1"/>
    <col min="5897" max="5897" width="11.6640625" customWidth="1"/>
    <col min="5898" max="5898" width="12" customWidth="1"/>
    <col min="5900" max="5900" width="13.6640625" customWidth="1"/>
    <col min="5901" max="5901" width="10" customWidth="1"/>
    <col min="6146" max="6146" width="9.5" customWidth="1"/>
    <col min="6147" max="6147" width="12.5" customWidth="1"/>
    <col min="6148" max="6148" width="11.6640625" customWidth="1"/>
    <col min="6149" max="6149" width="17.33203125" bestFit="1" customWidth="1"/>
    <col min="6150" max="6150" width="14" customWidth="1"/>
    <col min="6151" max="6151" width="12.83203125" customWidth="1"/>
    <col min="6152" max="6152" width="11.33203125" customWidth="1"/>
    <col min="6153" max="6153" width="11.6640625" customWidth="1"/>
    <col min="6154" max="6154" width="12" customWidth="1"/>
    <col min="6156" max="6156" width="13.6640625" customWidth="1"/>
    <col min="6157" max="6157" width="10" customWidth="1"/>
    <col min="6402" max="6402" width="9.5" customWidth="1"/>
    <col min="6403" max="6403" width="12.5" customWidth="1"/>
    <col min="6404" max="6404" width="11.6640625" customWidth="1"/>
    <col min="6405" max="6405" width="17.33203125" bestFit="1" customWidth="1"/>
    <col min="6406" max="6406" width="14" customWidth="1"/>
    <col min="6407" max="6407" width="12.83203125" customWidth="1"/>
    <col min="6408" max="6408" width="11.33203125" customWidth="1"/>
    <col min="6409" max="6409" width="11.6640625" customWidth="1"/>
    <col min="6410" max="6410" width="12" customWidth="1"/>
    <col min="6412" max="6412" width="13.6640625" customWidth="1"/>
    <col min="6413" max="6413" width="10" customWidth="1"/>
    <col min="6658" max="6658" width="9.5" customWidth="1"/>
    <col min="6659" max="6659" width="12.5" customWidth="1"/>
    <col min="6660" max="6660" width="11.6640625" customWidth="1"/>
    <col min="6661" max="6661" width="17.33203125" bestFit="1" customWidth="1"/>
    <col min="6662" max="6662" width="14" customWidth="1"/>
    <col min="6663" max="6663" width="12.83203125" customWidth="1"/>
    <col min="6664" max="6664" width="11.33203125" customWidth="1"/>
    <col min="6665" max="6665" width="11.6640625" customWidth="1"/>
    <col min="6666" max="6666" width="12" customWidth="1"/>
    <col min="6668" max="6668" width="13.6640625" customWidth="1"/>
    <col min="6669" max="6669" width="10" customWidth="1"/>
    <col min="6914" max="6914" width="9.5" customWidth="1"/>
    <col min="6915" max="6915" width="12.5" customWidth="1"/>
    <col min="6916" max="6916" width="11.6640625" customWidth="1"/>
    <col min="6917" max="6917" width="17.33203125" bestFit="1" customWidth="1"/>
    <col min="6918" max="6918" width="14" customWidth="1"/>
    <col min="6919" max="6919" width="12.83203125" customWidth="1"/>
    <col min="6920" max="6920" width="11.33203125" customWidth="1"/>
    <col min="6921" max="6921" width="11.6640625" customWidth="1"/>
    <col min="6922" max="6922" width="12" customWidth="1"/>
    <col min="6924" max="6924" width="13.6640625" customWidth="1"/>
    <col min="6925" max="6925" width="10" customWidth="1"/>
    <col min="7170" max="7170" width="9.5" customWidth="1"/>
    <col min="7171" max="7171" width="12.5" customWidth="1"/>
    <col min="7172" max="7172" width="11.6640625" customWidth="1"/>
    <col min="7173" max="7173" width="17.33203125" bestFit="1" customWidth="1"/>
    <col min="7174" max="7174" width="14" customWidth="1"/>
    <col min="7175" max="7175" width="12.83203125" customWidth="1"/>
    <col min="7176" max="7176" width="11.33203125" customWidth="1"/>
    <col min="7177" max="7177" width="11.6640625" customWidth="1"/>
    <col min="7178" max="7178" width="12" customWidth="1"/>
    <col min="7180" max="7180" width="13.6640625" customWidth="1"/>
    <col min="7181" max="7181" width="10" customWidth="1"/>
    <col min="7426" max="7426" width="9.5" customWidth="1"/>
    <col min="7427" max="7427" width="12.5" customWidth="1"/>
    <col min="7428" max="7428" width="11.6640625" customWidth="1"/>
    <col min="7429" max="7429" width="17.33203125" bestFit="1" customWidth="1"/>
    <col min="7430" max="7430" width="14" customWidth="1"/>
    <col min="7431" max="7431" width="12.83203125" customWidth="1"/>
    <col min="7432" max="7432" width="11.33203125" customWidth="1"/>
    <col min="7433" max="7433" width="11.6640625" customWidth="1"/>
    <col min="7434" max="7434" width="12" customWidth="1"/>
    <col min="7436" max="7436" width="13.6640625" customWidth="1"/>
    <col min="7437" max="7437" width="10" customWidth="1"/>
    <col min="7682" max="7682" width="9.5" customWidth="1"/>
    <col min="7683" max="7683" width="12.5" customWidth="1"/>
    <col min="7684" max="7684" width="11.6640625" customWidth="1"/>
    <col min="7685" max="7685" width="17.33203125" bestFit="1" customWidth="1"/>
    <col min="7686" max="7686" width="14" customWidth="1"/>
    <col min="7687" max="7687" width="12.83203125" customWidth="1"/>
    <col min="7688" max="7688" width="11.33203125" customWidth="1"/>
    <col min="7689" max="7689" width="11.6640625" customWidth="1"/>
    <col min="7690" max="7690" width="12" customWidth="1"/>
    <col min="7692" max="7692" width="13.6640625" customWidth="1"/>
    <col min="7693" max="7693" width="10" customWidth="1"/>
    <col min="7938" max="7938" width="9.5" customWidth="1"/>
    <col min="7939" max="7939" width="12.5" customWidth="1"/>
    <col min="7940" max="7940" width="11.6640625" customWidth="1"/>
    <col min="7941" max="7941" width="17.33203125" bestFit="1" customWidth="1"/>
    <col min="7942" max="7942" width="14" customWidth="1"/>
    <col min="7943" max="7943" width="12.83203125" customWidth="1"/>
    <col min="7944" max="7944" width="11.33203125" customWidth="1"/>
    <col min="7945" max="7945" width="11.6640625" customWidth="1"/>
    <col min="7946" max="7946" width="12" customWidth="1"/>
    <col min="7948" max="7948" width="13.6640625" customWidth="1"/>
    <col min="7949" max="7949" width="10" customWidth="1"/>
    <col min="8194" max="8194" width="9.5" customWidth="1"/>
    <col min="8195" max="8195" width="12.5" customWidth="1"/>
    <col min="8196" max="8196" width="11.6640625" customWidth="1"/>
    <col min="8197" max="8197" width="17.33203125" bestFit="1" customWidth="1"/>
    <col min="8198" max="8198" width="14" customWidth="1"/>
    <col min="8199" max="8199" width="12.83203125" customWidth="1"/>
    <col min="8200" max="8200" width="11.33203125" customWidth="1"/>
    <col min="8201" max="8201" width="11.6640625" customWidth="1"/>
    <col min="8202" max="8202" width="12" customWidth="1"/>
    <col min="8204" max="8204" width="13.6640625" customWidth="1"/>
    <col min="8205" max="8205" width="10" customWidth="1"/>
    <col min="8450" max="8450" width="9.5" customWidth="1"/>
    <col min="8451" max="8451" width="12.5" customWidth="1"/>
    <col min="8452" max="8452" width="11.6640625" customWidth="1"/>
    <col min="8453" max="8453" width="17.33203125" bestFit="1" customWidth="1"/>
    <col min="8454" max="8454" width="14" customWidth="1"/>
    <col min="8455" max="8455" width="12.83203125" customWidth="1"/>
    <col min="8456" max="8456" width="11.33203125" customWidth="1"/>
    <col min="8457" max="8457" width="11.6640625" customWidth="1"/>
    <col min="8458" max="8458" width="12" customWidth="1"/>
    <col min="8460" max="8460" width="13.6640625" customWidth="1"/>
    <col min="8461" max="8461" width="10" customWidth="1"/>
    <col min="8706" max="8706" width="9.5" customWidth="1"/>
    <col min="8707" max="8707" width="12.5" customWidth="1"/>
    <col min="8708" max="8708" width="11.6640625" customWidth="1"/>
    <col min="8709" max="8709" width="17.33203125" bestFit="1" customWidth="1"/>
    <col min="8710" max="8710" width="14" customWidth="1"/>
    <col min="8711" max="8711" width="12.83203125" customWidth="1"/>
    <col min="8712" max="8712" width="11.33203125" customWidth="1"/>
    <col min="8713" max="8713" width="11.6640625" customWidth="1"/>
    <col min="8714" max="8714" width="12" customWidth="1"/>
    <col min="8716" max="8716" width="13.6640625" customWidth="1"/>
    <col min="8717" max="8717" width="10" customWidth="1"/>
    <col min="8962" max="8962" width="9.5" customWidth="1"/>
    <col min="8963" max="8963" width="12.5" customWidth="1"/>
    <col min="8964" max="8964" width="11.6640625" customWidth="1"/>
    <col min="8965" max="8965" width="17.33203125" bestFit="1" customWidth="1"/>
    <col min="8966" max="8966" width="14" customWidth="1"/>
    <col min="8967" max="8967" width="12.83203125" customWidth="1"/>
    <col min="8968" max="8968" width="11.33203125" customWidth="1"/>
    <col min="8969" max="8969" width="11.6640625" customWidth="1"/>
    <col min="8970" max="8970" width="12" customWidth="1"/>
    <col min="8972" max="8972" width="13.6640625" customWidth="1"/>
    <col min="8973" max="8973" width="10" customWidth="1"/>
    <col min="9218" max="9218" width="9.5" customWidth="1"/>
    <col min="9219" max="9219" width="12.5" customWidth="1"/>
    <col min="9220" max="9220" width="11.6640625" customWidth="1"/>
    <col min="9221" max="9221" width="17.33203125" bestFit="1" customWidth="1"/>
    <col min="9222" max="9222" width="14" customWidth="1"/>
    <col min="9223" max="9223" width="12.83203125" customWidth="1"/>
    <col min="9224" max="9224" width="11.33203125" customWidth="1"/>
    <col min="9225" max="9225" width="11.6640625" customWidth="1"/>
    <col min="9226" max="9226" width="12" customWidth="1"/>
    <col min="9228" max="9228" width="13.6640625" customWidth="1"/>
    <col min="9229" max="9229" width="10" customWidth="1"/>
    <col min="9474" max="9474" width="9.5" customWidth="1"/>
    <col min="9475" max="9475" width="12.5" customWidth="1"/>
    <col min="9476" max="9476" width="11.6640625" customWidth="1"/>
    <col min="9477" max="9477" width="17.33203125" bestFit="1" customWidth="1"/>
    <col min="9478" max="9478" width="14" customWidth="1"/>
    <col min="9479" max="9479" width="12.83203125" customWidth="1"/>
    <col min="9480" max="9480" width="11.33203125" customWidth="1"/>
    <col min="9481" max="9481" width="11.6640625" customWidth="1"/>
    <col min="9482" max="9482" width="12" customWidth="1"/>
    <col min="9484" max="9484" width="13.6640625" customWidth="1"/>
    <col min="9485" max="9485" width="10" customWidth="1"/>
    <col min="9730" max="9730" width="9.5" customWidth="1"/>
    <col min="9731" max="9731" width="12.5" customWidth="1"/>
    <col min="9732" max="9732" width="11.6640625" customWidth="1"/>
    <col min="9733" max="9733" width="17.33203125" bestFit="1" customWidth="1"/>
    <col min="9734" max="9734" width="14" customWidth="1"/>
    <col min="9735" max="9735" width="12.83203125" customWidth="1"/>
    <col min="9736" max="9736" width="11.33203125" customWidth="1"/>
    <col min="9737" max="9737" width="11.6640625" customWidth="1"/>
    <col min="9738" max="9738" width="12" customWidth="1"/>
    <col min="9740" max="9740" width="13.6640625" customWidth="1"/>
    <col min="9741" max="9741" width="10" customWidth="1"/>
    <col min="9986" max="9986" width="9.5" customWidth="1"/>
    <col min="9987" max="9987" width="12.5" customWidth="1"/>
    <col min="9988" max="9988" width="11.6640625" customWidth="1"/>
    <col min="9989" max="9989" width="17.33203125" bestFit="1" customWidth="1"/>
    <col min="9990" max="9990" width="14" customWidth="1"/>
    <col min="9991" max="9991" width="12.83203125" customWidth="1"/>
    <col min="9992" max="9992" width="11.33203125" customWidth="1"/>
    <col min="9993" max="9993" width="11.6640625" customWidth="1"/>
    <col min="9994" max="9994" width="12" customWidth="1"/>
    <col min="9996" max="9996" width="13.6640625" customWidth="1"/>
    <col min="9997" max="9997" width="10" customWidth="1"/>
    <col min="10242" max="10242" width="9.5" customWidth="1"/>
    <col min="10243" max="10243" width="12.5" customWidth="1"/>
    <col min="10244" max="10244" width="11.6640625" customWidth="1"/>
    <col min="10245" max="10245" width="17.33203125" bestFit="1" customWidth="1"/>
    <col min="10246" max="10246" width="14" customWidth="1"/>
    <col min="10247" max="10247" width="12.83203125" customWidth="1"/>
    <col min="10248" max="10248" width="11.33203125" customWidth="1"/>
    <col min="10249" max="10249" width="11.6640625" customWidth="1"/>
    <col min="10250" max="10250" width="12" customWidth="1"/>
    <col min="10252" max="10252" width="13.6640625" customWidth="1"/>
    <col min="10253" max="10253" width="10" customWidth="1"/>
    <col min="10498" max="10498" width="9.5" customWidth="1"/>
    <col min="10499" max="10499" width="12.5" customWidth="1"/>
    <col min="10500" max="10500" width="11.6640625" customWidth="1"/>
    <col min="10501" max="10501" width="17.33203125" bestFit="1" customWidth="1"/>
    <col min="10502" max="10502" width="14" customWidth="1"/>
    <col min="10503" max="10503" width="12.83203125" customWidth="1"/>
    <col min="10504" max="10504" width="11.33203125" customWidth="1"/>
    <col min="10505" max="10505" width="11.6640625" customWidth="1"/>
    <col min="10506" max="10506" width="12" customWidth="1"/>
    <col min="10508" max="10508" width="13.6640625" customWidth="1"/>
    <col min="10509" max="10509" width="10" customWidth="1"/>
    <col min="10754" max="10754" width="9.5" customWidth="1"/>
    <col min="10755" max="10755" width="12.5" customWidth="1"/>
    <col min="10756" max="10756" width="11.6640625" customWidth="1"/>
    <col min="10757" max="10757" width="17.33203125" bestFit="1" customWidth="1"/>
    <col min="10758" max="10758" width="14" customWidth="1"/>
    <col min="10759" max="10759" width="12.83203125" customWidth="1"/>
    <col min="10760" max="10760" width="11.33203125" customWidth="1"/>
    <col min="10761" max="10761" width="11.6640625" customWidth="1"/>
    <col min="10762" max="10762" width="12" customWidth="1"/>
    <col min="10764" max="10764" width="13.6640625" customWidth="1"/>
    <col min="10765" max="10765" width="10" customWidth="1"/>
    <col min="11010" max="11010" width="9.5" customWidth="1"/>
    <col min="11011" max="11011" width="12.5" customWidth="1"/>
    <col min="11012" max="11012" width="11.6640625" customWidth="1"/>
    <col min="11013" max="11013" width="17.33203125" bestFit="1" customWidth="1"/>
    <col min="11014" max="11014" width="14" customWidth="1"/>
    <col min="11015" max="11015" width="12.83203125" customWidth="1"/>
    <col min="11016" max="11016" width="11.33203125" customWidth="1"/>
    <col min="11017" max="11017" width="11.6640625" customWidth="1"/>
    <col min="11018" max="11018" width="12" customWidth="1"/>
    <col min="11020" max="11020" width="13.6640625" customWidth="1"/>
    <col min="11021" max="11021" width="10" customWidth="1"/>
    <col min="11266" max="11266" width="9.5" customWidth="1"/>
    <col min="11267" max="11267" width="12.5" customWidth="1"/>
    <col min="11268" max="11268" width="11.6640625" customWidth="1"/>
    <col min="11269" max="11269" width="17.33203125" bestFit="1" customWidth="1"/>
    <col min="11270" max="11270" width="14" customWidth="1"/>
    <col min="11271" max="11271" width="12.83203125" customWidth="1"/>
    <col min="11272" max="11272" width="11.33203125" customWidth="1"/>
    <col min="11273" max="11273" width="11.6640625" customWidth="1"/>
    <col min="11274" max="11274" width="12" customWidth="1"/>
    <col min="11276" max="11276" width="13.6640625" customWidth="1"/>
    <col min="11277" max="11277" width="10" customWidth="1"/>
    <col min="11522" max="11522" width="9.5" customWidth="1"/>
    <col min="11523" max="11523" width="12.5" customWidth="1"/>
    <col min="11524" max="11524" width="11.6640625" customWidth="1"/>
    <col min="11525" max="11525" width="17.33203125" bestFit="1" customWidth="1"/>
    <col min="11526" max="11526" width="14" customWidth="1"/>
    <col min="11527" max="11527" width="12.83203125" customWidth="1"/>
    <col min="11528" max="11528" width="11.33203125" customWidth="1"/>
    <col min="11529" max="11529" width="11.6640625" customWidth="1"/>
    <col min="11530" max="11530" width="12" customWidth="1"/>
    <col min="11532" max="11532" width="13.6640625" customWidth="1"/>
    <col min="11533" max="11533" width="10" customWidth="1"/>
    <col min="11778" max="11778" width="9.5" customWidth="1"/>
    <col min="11779" max="11779" width="12.5" customWidth="1"/>
    <col min="11780" max="11780" width="11.6640625" customWidth="1"/>
    <col min="11781" max="11781" width="17.33203125" bestFit="1" customWidth="1"/>
    <col min="11782" max="11782" width="14" customWidth="1"/>
    <col min="11783" max="11783" width="12.83203125" customWidth="1"/>
    <col min="11784" max="11784" width="11.33203125" customWidth="1"/>
    <col min="11785" max="11785" width="11.6640625" customWidth="1"/>
    <col min="11786" max="11786" width="12" customWidth="1"/>
    <col min="11788" max="11788" width="13.6640625" customWidth="1"/>
    <col min="11789" max="11789" width="10" customWidth="1"/>
    <col min="12034" max="12034" width="9.5" customWidth="1"/>
    <col min="12035" max="12035" width="12.5" customWidth="1"/>
    <col min="12036" max="12036" width="11.6640625" customWidth="1"/>
    <col min="12037" max="12037" width="17.33203125" bestFit="1" customWidth="1"/>
    <col min="12038" max="12038" width="14" customWidth="1"/>
    <col min="12039" max="12039" width="12.83203125" customWidth="1"/>
    <col min="12040" max="12040" width="11.33203125" customWidth="1"/>
    <col min="12041" max="12041" width="11.6640625" customWidth="1"/>
    <col min="12042" max="12042" width="12" customWidth="1"/>
    <col min="12044" max="12044" width="13.6640625" customWidth="1"/>
    <col min="12045" max="12045" width="10" customWidth="1"/>
    <col min="12290" max="12290" width="9.5" customWidth="1"/>
    <col min="12291" max="12291" width="12.5" customWidth="1"/>
    <col min="12292" max="12292" width="11.6640625" customWidth="1"/>
    <col min="12293" max="12293" width="17.33203125" bestFit="1" customWidth="1"/>
    <col min="12294" max="12294" width="14" customWidth="1"/>
    <col min="12295" max="12295" width="12.83203125" customWidth="1"/>
    <col min="12296" max="12296" width="11.33203125" customWidth="1"/>
    <col min="12297" max="12297" width="11.6640625" customWidth="1"/>
    <col min="12298" max="12298" width="12" customWidth="1"/>
    <col min="12300" max="12300" width="13.6640625" customWidth="1"/>
    <col min="12301" max="12301" width="10" customWidth="1"/>
    <col min="12546" max="12546" width="9.5" customWidth="1"/>
    <col min="12547" max="12547" width="12.5" customWidth="1"/>
    <col min="12548" max="12548" width="11.6640625" customWidth="1"/>
    <col min="12549" max="12549" width="17.33203125" bestFit="1" customWidth="1"/>
    <col min="12550" max="12550" width="14" customWidth="1"/>
    <col min="12551" max="12551" width="12.83203125" customWidth="1"/>
    <col min="12552" max="12552" width="11.33203125" customWidth="1"/>
    <col min="12553" max="12553" width="11.6640625" customWidth="1"/>
    <col min="12554" max="12554" width="12" customWidth="1"/>
    <col min="12556" max="12556" width="13.6640625" customWidth="1"/>
    <col min="12557" max="12557" width="10" customWidth="1"/>
    <col min="12802" max="12802" width="9.5" customWidth="1"/>
    <col min="12803" max="12803" width="12.5" customWidth="1"/>
    <col min="12804" max="12804" width="11.6640625" customWidth="1"/>
    <col min="12805" max="12805" width="17.33203125" bestFit="1" customWidth="1"/>
    <col min="12806" max="12806" width="14" customWidth="1"/>
    <col min="12807" max="12807" width="12.83203125" customWidth="1"/>
    <col min="12808" max="12808" width="11.33203125" customWidth="1"/>
    <col min="12809" max="12809" width="11.6640625" customWidth="1"/>
    <col min="12810" max="12810" width="12" customWidth="1"/>
    <col min="12812" max="12812" width="13.6640625" customWidth="1"/>
    <col min="12813" max="12813" width="10" customWidth="1"/>
    <col min="13058" max="13058" width="9.5" customWidth="1"/>
    <col min="13059" max="13059" width="12.5" customWidth="1"/>
    <col min="13060" max="13060" width="11.6640625" customWidth="1"/>
    <col min="13061" max="13061" width="17.33203125" bestFit="1" customWidth="1"/>
    <col min="13062" max="13062" width="14" customWidth="1"/>
    <col min="13063" max="13063" width="12.83203125" customWidth="1"/>
    <col min="13064" max="13064" width="11.33203125" customWidth="1"/>
    <col min="13065" max="13065" width="11.6640625" customWidth="1"/>
    <col min="13066" max="13066" width="12" customWidth="1"/>
    <col min="13068" max="13068" width="13.6640625" customWidth="1"/>
    <col min="13069" max="13069" width="10" customWidth="1"/>
    <col min="13314" max="13314" width="9.5" customWidth="1"/>
    <col min="13315" max="13315" width="12.5" customWidth="1"/>
    <col min="13316" max="13316" width="11.6640625" customWidth="1"/>
    <col min="13317" max="13317" width="17.33203125" bestFit="1" customWidth="1"/>
    <col min="13318" max="13318" width="14" customWidth="1"/>
    <col min="13319" max="13319" width="12.83203125" customWidth="1"/>
    <col min="13320" max="13320" width="11.33203125" customWidth="1"/>
    <col min="13321" max="13321" width="11.6640625" customWidth="1"/>
    <col min="13322" max="13322" width="12" customWidth="1"/>
    <col min="13324" max="13324" width="13.6640625" customWidth="1"/>
    <col min="13325" max="13325" width="10" customWidth="1"/>
    <col min="13570" max="13570" width="9.5" customWidth="1"/>
    <col min="13571" max="13571" width="12.5" customWidth="1"/>
    <col min="13572" max="13572" width="11.6640625" customWidth="1"/>
    <col min="13573" max="13573" width="17.33203125" bestFit="1" customWidth="1"/>
    <col min="13574" max="13574" width="14" customWidth="1"/>
    <col min="13575" max="13575" width="12.83203125" customWidth="1"/>
    <col min="13576" max="13576" width="11.33203125" customWidth="1"/>
    <col min="13577" max="13577" width="11.6640625" customWidth="1"/>
    <col min="13578" max="13578" width="12" customWidth="1"/>
    <col min="13580" max="13580" width="13.6640625" customWidth="1"/>
    <col min="13581" max="13581" width="10" customWidth="1"/>
    <col min="13826" max="13826" width="9.5" customWidth="1"/>
    <col min="13827" max="13827" width="12.5" customWidth="1"/>
    <col min="13828" max="13828" width="11.6640625" customWidth="1"/>
    <col min="13829" max="13829" width="17.33203125" bestFit="1" customWidth="1"/>
    <col min="13830" max="13830" width="14" customWidth="1"/>
    <col min="13831" max="13831" width="12.83203125" customWidth="1"/>
    <col min="13832" max="13832" width="11.33203125" customWidth="1"/>
    <col min="13833" max="13833" width="11.6640625" customWidth="1"/>
    <col min="13834" max="13834" width="12" customWidth="1"/>
    <col min="13836" max="13836" width="13.6640625" customWidth="1"/>
    <col min="13837" max="13837" width="10" customWidth="1"/>
    <col min="14082" max="14082" width="9.5" customWidth="1"/>
    <col min="14083" max="14083" width="12.5" customWidth="1"/>
    <col min="14084" max="14084" width="11.6640625" customWidth="1"/>
    <col min="14085" max="14085" width="17.33203125" bestFit="1" customWidth="1"/>
    <col min="14086" max="14086" width="14" customWidth="1"/>
    <col min="14087" max="14087" width="12.83203125" customWidth="1"/>
    <col min="14088" max="14088" width="11.33203125" customWidth="1"/>
    <col min="14089" max="14089" width="11.6640625" customWidth="1"/>
    <col min="14090" max="14090" width="12" customWidth="1"/>
    <col min="14092" max="14092" width="13.6640625" customWidth="1"/>
    <col min="14093" max="14093" width="10" customWidth="1"/>
    <col min="14338" max="14338" width="9.5" customWidth="1"/>
    <col min="14339" max="14339" width="12.5" customWidth="1"/>
    <col min="14340" max="14340" width="11.6640625" customWidth="1"/>
    <col min="14341" max="14341" width="17.33203125" bestFit="1" customWidth="1"/>
    <col min="14342" max="14342" width="14" customWidth="1"/>
    <col min="14343" max="14343" width="12.83203125" customWidth="1"/>
    <col min="14344" max="14344" width="11.33203125" customWidth="1"/>
    <col min="14345" max="14345" width="11.6640625" customWidth="1"/>
    <col min="14346" max="14346" width="12" customWidth="1"/>
    <col min="14348" max="14348" width="13.6640625" customWidth="1"/>
    <col min="14349" max="14349" width="10" customWidth="1"/>
    <col min="14594" max="14594" width="9.5" customWidth="1"/>
    <col min="14595" max="14595" width="12.5" customWidth="1"/>
    <col min="14596" max="14596" width="11.6640625" customWidth="1"/>
    <col min="14597" max="14597" width="17.33203125" bestFit="1" customWidth="1"/>
    <col min="14598" max="14598" width="14" customWidth="1"/>
    <col min="14599" max="14599" width="12.83203125" customWidth="1"/>
    <col min="14600" max="14600" width="11.33203125" customWidth="1"/>
    <col min="14601" max="14601" width="11.6640625" customWidth="1"/>
    <col min="14602" max="14602" width="12" customWidth="1"/>
    <col min="14604" max="14604" width="13.6640625" customWidth="1"/>
    <col min="14605" max="14605" width="10" customWidth="1"/>
    <col min="14850" max="14850" width="9.5" customWidth="1"/>
    <col min="14851" max="14851" width="12.5" customWidth="1"/>
    <col min="14852" max="14852" width="11.6640625" customWidth="1"/>
    <col min="14853" max="14853" width="17.33203125" bestFit="1" customWidth="1"/>
    <col min="14854" max="14854" width="14" customWidth="1"/>
    <col min="14855" max="14855" width="12.83203125" customWidth="1"/>
    <col min="14856" max="14856" width="11.33203125" customWidth="1"/>
    <col min="14857" max="14857" width="11.6640625" customWidth="1"/>
    <col min="14858" max="14858" width="12" customWidth="1"/>
    <col min="14860" max="14860" width="13.6640625" customWidth="1"/>
    <col min="14861" max="14861" width="10" customWidth="1"/>
    <col min="15106" max="15106" width="9.5" customWidth="1"/>
    <col min="15107" max="15107" width="12.5" customWidth="1"/>
    <col min="15108" max="15108" width="11.6640625" customWidth="1"/>
    <col min="15109" max="15109" width="17.33203125" bestFit="1" customWidth="1"/>
    <col min="15110" max="15110" width="14" customWidth="1"/>
    <col min="15111" max="15111" width="12.83203125" customWidth="1"/>
    <col min="15112" max="15112" width="11.33203125" customWidth="1"/>
    <col min="15113" max="15113" width="11.6640625" customWidth="1"/>
    <col min="15114" max="15114" width="12" customWidth="1"/>
    <col min="15116" max="15116" width="13.6640625" customWidth="1"/>
    <col min="15117" max="15117" width="10" customWidth="1"/>
    <col min="15362" max="15362" width="9.5" customWidth="1"/>
    <col min="15363" max="15363" width="12.5" customWidth="1"/>
    <col min="15364" max="15364" width="11.6640625" customWidth="1"/>
    <col min="15365" max="15365" width="17.33203125" bestFit="1" customWidth="1"/>
    <col min="15366" max="15366" width="14" customWidth="1"/>
    <col min="15367" max="15367" width="12.83203125" customWidth="1"/>
    <col min="15368" max="15368" width="11.33203125" customWidth="1"/>
    <col min="15369" max="15369" width="11.6640625" customWidth="1"/>
    <col min="15370" max="15370" width="12" customWidth="1"/>
    <col min="15372" max="15372" width="13.6640625" customWidth="1"/>
    <col min="15373" max="15373" width="10" customWidth="1"/>
    <col min="15618" max="15618" width="9.5" customWidth="1"/>
    <col min="15619" max="15619" width="12.5" customWidth="1"/>
    <col min="15620" max="15620" width="11.6640625" customWidth="1"/>
    <col min="15621" max="15621" width="17.33203125" bestFit="1" customWidth="1"/>
    <col min="15622" max="15622" width="14" customWidth="1"/>
    <col min="15623" max="15623" width="12.83203125" customWidth="1"/>
    <col min="15624" max="15624" width="11.33203125" customWidth="1"/>
    <col min="15625" max="15625" width="11.6640625" customWidth="1"/>
    <col min="15626" max="15626" width="12" customWidth="1"/>
    <col min="15628" max="15628" width="13.6640625" customWidth="1"/>
    <col min="15629" max="15629" width="10" customWidth="1"/>
    <col min="15874" max="15874" width="9.5" customWidth="1"/>
    <col min="15875" max="15875" width="12.5" customWidth="1"/>
    <col min="15876" max="15876" width="11.6640625" customWidth="1"/>
    <col min="15877" max="15877" width="17.33203125" bestFit="1" customWidth="1"/>
    <col min="15878" max="15878" width="14" customWidth="1"/>
    <col min="15879" max="15879" width="12.83203125" customWidth="1"/>
    <col min="15880" max="15880" width="11.33203125" customWidth="1"/>
    <col min="15881" max="15881" width="11.6640625" customWidth="1"/>
    <col min="15882" max="15882" width="12" customWidth="1"/>
    <col min="15884" max="15884" width="13.6640625" customWidth="1"/>
    <col min="15885" max="15885" width="10" customWidth="1"/>
    <col min="16130" max="16130" width="9.5" customWidth="1"/>
    <col min="16131" max="16131" width="12.5" customWidth="1"/>
    <col min="16132" max="16132" width="11.6640625" customWidth="1"/>
    <col min="16133" max="16133" width="17.33203125" bestFit="1" customWidth="1"/>
    <col min="16134" max="16134" width="14" customWidth="1"/>
    <col min="16135" max="16135" width="12.83203125" customWidth="1"/>
    <col min="16136" max="16136" width="11.33203125" customWidth="1"/>
    <col min="16137" max="16137" width="11.6640625" customWidth="1"/>
    <col min="16138" max="16138" width="12" customWidth="1"/>
    <col min="16140" max="16140" width="13.6640625" customWidth="1"/>
    <col min="16141" max="16141" width="10" customWidth="1"/>
  </cols>
  <sheetData>
    <row r="2" spans="1:12" x14ac:dyDescent="0.2">
      <c r="C2" t="s">
        <v>0</v>
      </c>
      <c r="D2" t="s">
        <v>1</v>
      </c>
      <c r="E2" s="1"/>
      <c r="F2" s="1"/>
    </row>
    <row r="3" spans="1:12" ht="17" x14ac:dyDescent="0.2"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H3" s="5" t="s">
        <v>2</v>
      </c>
      <c r="I3" s="6" t="s">
        <v>0</v>
      </c>
      <c r="J3" s="6" t="s">
        <v>7</v>
      </c>
      <c r="L3" s="4" t="s">
        <v>4</v>
      </c>
    </row>
    <row r="4" spans="1:12" x14ac:dyDescent="0.2">
      <c r="A4">
        <v>1</v>
      </c>
      <c r="B4" s="7">
        <v>46110</v>
      </c>
      <c r="C4" s="8">
        <v>29.5</v>
      </c>
      <c r="D4" s="9">
        <f>L4/52</f>
        <v>0.13065590934065943</v>
      </c>
      <c r="E4" s="10">
        <f>LN(C4/C5)</f>
        <v>4.7909196403309942E-2</v>
      </c>
      <c r="F4" s="4">
        <f>LN(D4/D5)</f>
        <v>-2.7505803624267113E-2</v>
      </c>
      <c r="H4" s="11">
        <v>46110</v>
      </c>
      <c r="I4" s="12">
        <v>4.7909196403309942E-2</v>
      </c>
      <c r="J4" s="12">
        <v>-2.7505803624267113E-2</v>
      </c>
      <c r="L4" s="9">
        <v>6.7941072857142899</v>
      </c>
    </row>
    <row r="5" spans="1:12" x14ac:dyDescent="0.2">
      <c r="A5">
        <v>2</v>
      </c>
      <c r="B5" s="7">
        <v>46103</v>
      </c>
      <c r="C5" s="8">
        <v>28.12</v>
      </c>
      <c r="D5" s="9">
        <f t="shared" ref="D5:D17" si="0">L5/52</f>
        <v>0.13429958653846155</v>
      </c>
      <c r="E5" s="10">
        <f t="shared" ref="E5:F15" si="1">LN(C5/C6)</f>
        <v>4.4354780334670892E-2</v>
      </c>
      <c r="F5" s="4">
        <f t="shared" si="1"/>
        <v>1.3750384227522745E-2</v>
      </c>
      <c r="H5" s="11">
        <v>46103</v>
      </c>
      <c r="I5" s="12">
        <v>4.4354780334670892E-2</v>
      </c>
      <c r="J5" s="12">
        <v>1.3750384227522526E-2</v>
      </c>
      <c r="L5" s="9">
        <v>6.9835785000000001</v>
      </c>
    </row>
    <row r="6" spans="1:12" x14ac:dyDescent="0.2">
      <c r="A6">
        <v>3</v>
      </c>
      <c r="B6" s="7">
        <v>46096</v>
      </c>
      <c r="C6" s="13">
        <v>26.9</v>
      </c>
      <c r="D6" s="9">
        <f t="shared" si="0"/>
        <v>0.13246555384615383</v>
      </c>
      <c r="E6" s="10">
        <f t="shared" si="1"/>
        <v>3.3513343599254012E-3</v>
      </c>
      <c r="F6" s="4">
        <f t="shared" si="1"/>
        <v>-1.6476337307531931E-3</v>
      </c>
      <c r="H6" s="11">
        <v>46096</v>
      </c>
      <c r="I6" s="12">
        <v>3.3513343599254012E-3</v>
      </c>
      <c r="J6" s="12">
        <v>-1.6476337307530819E-3</v>
      </c>
      <c r="L6" s="9">
        <v>6.8882087999999992</v>
      </c>
    </row>
    <row r="7" spans="1:12" x14ac:dyDescent="0.2">
      <c r="A7">
        <v>4</v>
      </c>
      <c r="B7" s="7">
        <v>46089</v>
      </c>
      <c r="C7" s="8">
        <v>26.81</v>
      </c>
      <c r="D7" s="9">
        <f t="shared" si="0"/>
        <v>0.13268398846153848</v>
      </c>
      <c r="E7" s="10">
        <f t="shared" si="1"/>
        <v>-6.9166920743330376E-2</v>
      </c>
      <c r="F7" s="4">
        <f t="shared" si="1"/>
        <v>-4.9350980276207622E-3</v>
      </c>
      <c r="H7" s="11">
        <v>46089</v>
      </c>
      <c r="I7" s="12">
        <v>-6.9166920743330376E-2</v>
      </c>
      <c r="J7" s="12">
        <v>-4.9350980276207622E-3</v>
      </c>
      <c r="L7" s="9">
        <v>6.8995674000000005</v>
      </c>
    </row>
    <row r="8" spans="1:12" x14ac:dyDescent="0.2">
      <c r="A8">
        <v>5</v>
      </c>
      <c r="B8" s="7">
        <v>46082</v>
      </c>
      <c r="C8" s="8">
        <v>28.73</v>
      </c>
      <c r="D8" s="9">
        <f t="shared" si="0"/>
        <v>0.13334041538461541</v>
      </c>
      <c r="E8" s="10">
        <f t="shared" si="1"/>
        <v>-4.058528011507833E-2</v>
      </c>
      <c r="F8" s="4">
        <f t="shared" si="1"/>
        <v>-1.1826287925377064E-6</v>
      </c>
      <c r="H8" s="11">
        <v>46082</v>
      </c>
      <c r="I8" s="12">
        <v>-4.058528011507833E-2</v>
      </c>
      <c r="J8" s="12">
        <v>-1.1826287925377064E-6</v>
      </c>
      <c r="L8" s="9">
        <v>6.9337016000000009</v>
      </c>
    </row>
    <row r="9" spans="1:12" x14ac:dyDescent="0.2">
      <c r="A9">
        <v>6</v>
      </c>
      <c r="B9" s="7">
        <v>46075</v>
      </c>
      <c r="C9" s="8">
        <v>29.92</v>
      </c>
      <c r="D9" s="9">
        <f t="shared" si="0"/>
        <v>0.1333405730769231</v>
      </c>
      <c r="E9" s="10">
        <f t="shared" si="1"/>
        <v>-2.6702285558788097E-3</v>
      </c>
      <c r="F9" s="4">
        <f t="shared" si="1"/>
        <v>-4.8768713330203956E-3</v>
      </c>
      <c r="H9" s="11">
        <v>46075</v>
      </c>
      <c r="I9" s="12">
        <v>-2.6702285558788097E-3</v>
      </c>
      <c r="J9" s="12">
        <v>-4.8768713330202837E-3</v>
      </c>
      <c r="L9" s="9">
        <v>6.9337098000000008</v>
      </c>
    </row>
    <row r="10" spans="1:12" x14ac:dyDescent="0.2">
      <c r="A10">
        <v>7</v>
      </c>
      <c r="B10" s="7">
        <v>46068</v>
      </c>
      <c r="C10" s="8">
        <v>30</v>
      </c>
      <c r="D10" s="9">
        <f t="shared" si="0"/>
        <v>0.13399244615384617</v>
      </c>
      <c r="E10" s="10">
        <f t="shared" si="1"/>
        <v>8.7044406301463179E-3</v>
      </c>
      <c r="F10" s="4">
        <f t="shared" si="1"/>
        <v>-1.5637074008048413E-2</v>
      </c>
      <c r="H10" s="11">
        <v>46068</v>
      </c>
      <c r="I10" s="12">
        <v>8.7044406301463179E-3</v>
      </c>
      <c r="J10" s="12">
        <v>-1.5637074008048528E-2</v>
      </c>
      <c r="L10" s="9">
        <v>6.9676072000000007</v>
      </c>
    </row>
    <row r="11" spans="1:12" x14ac:dyDescent="0.2">
      <c r="A11">
        <v>8</v>
      </c>
      <c r="B11" s="7">
        <v>46061</v>
      </c>
      <c r="C11" s="8">
        <v>29.74</v>
      </c>
      <c r="D11" s="9">
        <f t="shared" si="0"/>
        <v>0.13610416346153847</v>
      </c>
      <c r="E11" s="10">
        <f t="shared" si="1"/>
        <v>3.0729628615260674E-2</v>
      </c>
      <c r="F11" s="4">
        <f t="shared" si="1"/>
        <v>1.0310627718887544E-3</v>
      </c>
      <c r="H11" s="11">
        <v>46061</v>
      </c>
      <c r="I11" s="12">
        <v>3.0729628615260674E-2</v>
      </c>
      <c r="J11" s="12">
        <v>1.0310627718889763E-3</v>
      </c>
      <c r="L11" s="9">
        <v>7.0774165000000009</v>
      </c>
    </row>
    <row r="12" spans="1:12" x14ac:dyDescent="0.2">
      <c r="A12">
        <v>9</v>
      </c>
      <c r="B12" s="7">
        <v>46054</v>
      </c>
      <c r="C12" s="8">
        <v>28.84</v>
      </c>
      <c r="D12" s="9">
        <f t="shared" si="0"/>
        <v>0.13596390384615384</v>
      </c>
      <c r="E12" s="10">
        <f t="shared" si="1"/>
        <v>7.0752889789348447E-2</v>
      </c>
      <c r="F12" s="4">
        <f t="shared" si="1"/>
        <v>-4.4678894218338977E-3</v>
      </c>
      <c r="H12" s="11">
        <v>46054</v>
      </c>
      <c r="I12" s="12">
        <v>7.0752889789348447E-2</v>
      </c>
      <c r="J12" s="12">
        <v>-4.4678894218338977E-3</v>
      </c>
      <c r="L12" s="9">
        <v>7.0701229999999997</v>
      </c>
    </row>
    <row r="13" spans="1:12" x14ac:dyDescent="0.2">
      <c r="A13">
        <v>10</v>
      </c>
      <c r="B13" s="7">
        <v>46047</v>
      </c>
      <c r="C13" s="8">
        <v>26.87</v>
      </c>
      <c r="D13" s="9">
        <f t="shared" si="0"/>
        <v>0.13657273461538461</v>
      </c>
      <c r="E13" s="10">
        <f t="shared" si="1"/>
        <v>-5.2910891215025235E-2</v>
      </c>
      <c r="F13" s="4">
        <f t="shared" si="1"/>
        <v>7.6723685652608873E-3</v>
      </c>
      <c r="H13" s="11">
        <v>46047</v>
      </c>
      <c r="I13" s="12">
        <v>-5.2910891215025235E-2</v>
      </c>
      <c r="J13" s="12">
        <v>7.6723685652608873E-3</v>
      </c>
      <c r="L13" s="9">
        <v>7.1017821999999997</v>
      </c>
    </row>
    <row r="14" spans="1:12" x14ac:dyDescent="0.2">
      <c r="A14">
        <v>11</v>
      </c>
      <c r="B14" s="7">
        <v>46040</v>
      </c>
      <c r="C14" s="8">
        <v>28.33</v>
      </c>
      <c r="D14" s="9">
        <f t="shared" si="0"/>
        <v>0.13552890769230769</v>
      </c>
      <c r="E14" s="10">
        <f t="shared" si="1"/>
        <v>9.5762391681102222E-3</v>
      </c>
      <c r="F14" s="4">
        <f t="shared" si="1"/>
        <v>-5.2005555630077593E-3</v>
      </c>
      <c r="H14" s="11">
        <v>46040</v>
      </c>
      <c r="I14" s="12">
        <v>9.5762391681102222E-3</v>
      </c>
      <c r="J14" s="12">
        <v>-5.2005555630076474E-3</v>
      </c>
      <c r="L14" s="9">
        <v>7.0475031999999995</v>
      </c>
    </row>
    <row r="15" spans="1:12" x14ac:dyDescent="0.2">
      <c r="A15">
        <v>12</v>
      </c>
      <c r="B15" s="7">
        <v>46033</v>
      </c>
      <c r="C15" s="8">
        <v>28.06</v>
      </c>
      <c r="D15" s="9">
        <f t="shared" si="0"/>
        <v>0.13623556923076924</v>
      </c>
      <c r="E15" s="10">
        <f t="shared" si="1"/>
        <v>3.7027823499551589E-2</v>
      </c>
      <c r="F15" s="4">
        <f t="shared" si="1"/>
        <v>-1.5763974620791336E-3</v>
      </c>
      <c r="H15" s="11">
        <v>46033</v>
      </c>
      <c r="I15" s="12">
        <v>3.7027823499551589E-2</v>
      </c>
      <c r="J15" s="12">
        <v>-1.5763974620792449E-3</v>
      </c>
      <c r="L15" s="9">
        <v>7.0842495999999997</v>
      </c>
    </row>
    <row r="16" spans="1:12" x14ac:dyDescent="0.2">
      <c r="A16">
        <v>13</v>
      </c>
      <c r="B16" s="7">
        <v>46026</v>
      </c>
      <c r="C16" s="8">
        <v>27.04</v>
      </c>
      <c r="D16" s="9">
        <f t="shared" si="0"/>
        <v>0.1364505</v>
      </c>
      <c r="E16" s="10">
        <f>LN(C16/C17)</f>
        <v>-2.5854123358108358E-3</v>
      </c>
      <c r="F16" s="4">
        <f>LN(D16/D17)</f>
        <v>-1.4758242951062866E-3</v>
      </c>
      <c r="H16" s="11">
        <v>46026</v>
      </c>
      <c r="I16" s="14">
        <v>-2.5854123358108358E-3</v>
      </c>
      <c r="J16" s="14">
        <v>-1.475824295106509E-3</v>
      </c>
      <c r="L16" s="9">
        <v>7.0954259999999998</v>
      </c>
    </row>
    <row r="17" spans="2:13" x14ac:dyDescent="0.2">
      <c r="B17" s="15">
        <v>46019</v>
      </c>
      <c r="C17" s="16">
        <v>27.11</v>
      </c>
      <c r="D17" s="17">
        <f t="shared" si="0"/>
        <v>0.13665202563461537</v>
      </c>
      <c r="E17" s="4"/>
      <c r="F17" s="4"/>
      <c r="H17" s="18">
        <v>46019</v>
      </c>
      <c r="I17" s="19"/>
      <c r="J17" s="19"/>
      <c r="L17" s="20">
        <v>7.1059053329999999</v>
      </c>
    </row>
    <row r="18" spans="2:13" x14ac:dyDescent="0.2">
      <c r="B18" s="7"/>
      <c r="C18" s="8"/>
      <c r="D18" s="3"/>
      <c r="E18" s="4"/>
      <c r="F18" s="4"/>
      <c r="L18" s="21"/>
    </row>
    <row r="19" spans="2:13" x14ac:dyDescent="0.2">
      <c r="B19" s="7"/>
      <c r="C19" s="13">
        <f>AVERAGE(C4:C17)</f>
        <v>28.283571428571431</v>
      </c>
      <c r="D19" s="22"/>
      <c r="E19" s="22"/>
      <c r="F19" s="22"/>
      <c r="G19" s="23"/>
    </row>
    <row r="20" spans="2:13" ht="17" x14ac:dyDescent="0.2">
      <c r="B20" s="7"/>
      <c r="D20" s="22" t="s">
        <v>8</v>
      </c>
      <c r="E20" s="4">
        <f>AVERAGE(E4:E16)</f>
        <v>6.4990461411692235E-3</v>
      </c>
      <c r="F20" s="4">
        <f>AVERAGE(F4:F16)</f>
        <v>-3.4515780407582391E-3</v>
      </c>
      <c r="H20" s="2" t="s">
        <v>9</v>
      </c>
    </row>
    <row r="21" spans="2:13" ht="17" x14ac:dyDescent="0.2">
      <c r="B21" s="7"/>
      <c r="D21" s="22" t="s">
        <v>10</v>
      </c>
      <c r="E21" s="4">
        <f>_xlfn.VAR.P(E4:E16)</f>
        <v>1.5737075299554508E-3</v>
      </c>
      <c r="F21" s="4">
        <f>_xlfn.VAR.P(F4:F16)</f>
        <v>9.2133791951920459E-5</v>
      </c>
      <c r="H21" s="24" t="s">
        <v>11</v>
      </c>
      <c r="I21" s="25">
        <f>I24-I36</f>
        <v>0.13991981053267877</v>
      </c>
    </row>
    <row r="22" spans="2:13" ht="34" x14ac:dyDescent="0.2">
      <c r="B22" s="3"/>
      <c r="D22" s="22" t="s">
        <v>12</v>
      </c>
      <c r="E22" s="4">
        <f>STDEV(E4:E16)</f>
        <v>4.1289827126283846E-2</v>
      </c>
      <c r="F22" s="4">
        <f>STDEV(F4:F16)</f>
        <v>9.9905759567661487E-3</v>
      </c>
      <c r="H22" s="24" t="s">
        <v>13</v>
      </c>
      <c r="I22" s="12">
        <f>I21/5</f>
        <v>2.7983962106535754E-2</v>
      </c>
    </row>
    <row r="23" spans="2:13" x14ac:dyDescent="0.2">
      <c r="B23" s="3"/>
      <c r="D23" s="3"/>
      <c r="E23" s="4"/>
      <c r="F23" s="4"/>
      <c r="H23" s="26" t="s">
        <v>2</v>
      </c>
      <c r="I23" s="27" t="s">
        <v>0</v>
      </c>
      <c r="J23" s="3"/>
      <c r="K23" s="28" t="s">
        <v>14</v>
      </c>
      <c r="L23" t="s">
        <v>15</v>
      </c>
      <c r="M23" t="s">
        <v>16</v>
      </c>
    </row>
    <row r="24" spans="2:13" ht="17" x14ac:dyDescent="0.2">
      <c r="B24" s="3"/>
      <c r="D24" s="22" t="s">
        <v>17</v>
      </c>
      <c r="E24" s="4">
        <f>_xlfn.COVARIANCE.P(E4:E16,F4:F16)</f>
        <v>-7.6786806152742413E-5</v>
      </c>
      <c r="F24" s="4"/>
      <c r="H24" s="29">
        <v>46054</v>
      </c>
      <c r="I24" s="30">
        <v>7.0752889789348405E-2</v>
      </c>
      <c r="J24" s="7"/>
      <c r="K24" s="31" t="s">
        <v>18</v>
      </c>
      <c r="L24" s="32">
        <v>0.08</v>
      </c>
      <c r="M24">
        <f t="array" ref="M24:M29">FREQUENCY(I24:I36,L24:L28)</f>
        <v>1</v>
      </c>
    </row>
    <row r="25" spans="2:13" x14ac:dyDescent="0.2">
      <c r="B25" s="3"/>
      <c r="D25" s="3"/>
      <c r="E25" s="4"/>
      <c r="F25" s="4"/>
      <c r="H25" s="33">
        <v>46110</v>
      </c>
      <c r="I25" s="34">
        <v>4.7909196403309942E-2</v>
      </c>
      <c r="J25" s="7"/>
      <c r="K25" s="31" t="s">
        <v>19</v>
      </c>
      <c r="L25" s="32">
        <v>0.05</v>
      </c>
      <c r="M25">
        <v>4</v>
      </c>
    </row>
    <row r="26" spans="2:13" x14ac:dyDescent="0.2">
      <c r="B26" s="3"/>
      <c r="D26" s="3"/>
      <c r="E26" s="4"/>
      <c r="F26" s="4"/>
      <c r="H26" s="29">
        <v>46103</v>
      </c>
      <c r="I26" s="35">
        <v>4.4354780334670892E-2</v>
      </c>
      <c r="J26" s="7"/>
      <c r="K26" s="31" t="s">
        <v>20</v>
      </c>
      <c r="L26" s="32">
        <v>0.02</v>
      </c>
      <c r="M26">
        <v>3</v>
      </c>
    </row>
    <row r="27" spans="2:13" x14ac:dyDescent="0.2">
      <c r="B27" s="3"/>
      <c r="D27" s="36" t="s">
        <v>21</v>
      </c>
      <c r="E27" s="36">
        <f>(E20-F20)/E22</f>
        <v>0.24099457116867409</v>
      </c>
      <c r="F27" s="4"/>
      <c r="H27" s="33">
        <v>46033</v>
      </c>
      <c r="I27" s="34">
        <v>3.7027823499551589E-2</v>
      </c>
      <c r="J27" s="7"/>
      <c r="K27" s="31" t="s">
        <v>22</v>
      </c>
      <c r="L27" s="32">
        <v>0</v>
      </c>
      <c r="M27">
        <v>2</v>
      </c>
    </row>
    <row r="28" spans="2:13" x14ac:dyDescent="0.2">
      <c r="B28" s="3"/>
      <c r="C28" s="4"/>
      <c r="D28" s="4"/>
      <c r="E28" s="4"/>
      <c r="H28" s="29">
        <v>46061</v>
      </c>
      <c r="I28" s="35">
        <v>3.0729628615260674E-2</v>
      </c>
      <c r="J28" s="7"/>
      <c r="K28" s="31" t="s">
        <v>23</v>
      </c>
      <c r="L28" s="32">
        <v>-0.03</v>
      </c>
      <c r="M28">
        <v>3</v>
      </c>
    </row>
    <row r="29" spans="2:13" x14ac:dyDescent="0.2">
      <c r="B29" s="3"/>
      <c r="C29" s="4"/>
      <c r="D29" s="4"/>
      <c r="E29" s="4"/>
      <c r="H29" s="33">
        <v>46040</v>
      </c>
      <c r="I29" s="34">
        <v>9.5762391681102222E-3</v>
      </c>
      <c r="J29" s="7"/>
      <c r="K29" s="24"/>
      <c r="L29" s="32"/>
      <c r="M29">
        <v>0</v>
      </c>
    </row>
    <row r="30" spans="2:13" x14ac:dyDescent="0.2">
      <c r="B30" s="37" t="s">
        <v>24</v>
      </c>
      <c r="C30" s="37"/>
      <c r="H30" s="29">
        <v>46068</v>
      </c>
      <c r="I30" s="35">
        <v>8.7044406301463179E-3</v>
      </c>
      <c r="J30" s="7"/>
      <c r="K30" s="24"/>
    </row>
    <row r="31" spans="2:13" x14ac:dyDescent="0.2">
      <c r="B31" s="3"/>
      <c r="C31" s="38" t="s">
        <v>25</v>
      </c>
      <c r="D31" s="39">
        <v>0.95</v>
      </c>
      <c r="E31" s="40">
        <v>1.65</v>
      </c>
      <c r="H31" s="33">
        <v>46096</v>
      </c>
      <c r="I31" s="34">
        <v>3.3513343599254012E-3</v>
      </c>
      <c r="J31" s="7"/>
      <c r="K31" s="24"/>
    </row>
    <row r="32" spans="2:13" x14ac:dyDescent="0.2">
      <c r="B32" s="3"/>
      <c r="C32" s="3"/>
      <c r="H32" s="29">
        <v>46026</v>
      </c>
      <c r="I32" s="35">
        <v>-2.5854123358108358E-3</v>
      </c>
      <c r="J32" s="7"/>
      <c r="K32" s="24"/>
    </row>
    <row r="33" spans="2:12" x14ac:dyDescent="0.2">
      <c r="C33" t="s">
        <v>26</v>
      </c>
      <c r="D33" s="41">
        <f>E20-(E31*E22)</f>
        <v>-6.1629168617199123E-2</v>
      </c>
      <c r="H33" s="33">
        <v>46075</v>
      </c>
      <c r="I33" s="34">
        <v>-2.6702285558788097E-3</v>
      </c>
      <c r="J33" s="7"/>
      <c r="K33" s="24"/>
    </row>
    <row r="34" spans="2:12" x14ac:dyDescent="0.2">
      <c r="H34" s="29">
        <v>46082</v>
      </c>
      <c r="I34" s="35">
        <v>-4.058528011507833E-2</v>
      </c>
      <c r="J34" s="7"/>
      <c r="K34" s="24"/>
    </row>
    <row r="35" spans="2:12" x14ac:dyDescent="0.2">
      <c r="B35" t="s">
        <v>27</v>
      </c>
      <c r="H35" s="33">
        <v>46047</v>
      </c>
      <c r="I35" s="34">
        <v>-5.2910891215025235E-2</v>
      </c>
      <c r="J35" s="7"/>
      <c r="K35" s="24"/>
    </row>
    <row r="36" spans="2:12" x14ac:dyDescent="0.2">
      <c r="B36" s="42" t="s">
        <v>2</v>
      </c>
      <c r="C36" s="43" t="s">
        <v>0</v>
      </c>
      <c r="E36" s="2" t="s">
        <v>28</v>
      </c>
      <c r="F36" s="2">
        <v>0.95</v>
      </c>
      <c r="H36" s="44">
        <v>46089</v>
      </c>
      <c r="I36" s="45">
        <v>-6.9166920743330376E-2</v>
      </c>
      <c r="J36" s="7"/>
      <c r="K36" s="24"/>
      <c r="L36" s="31"/>
    </row>
    <row r="37" spans="2:12" x14ac:dyDescent="0.2">
      <c r="B37" s="29">
        <v>46089</v>
      </c>
      <c r="C37" s="46">
        <v>-6.9166920743330376E-2</v>
      </c>
      <c r="E37" s="2" t="s">
        <v>29</v>
      </c>
      <c r="F37" s="2">
        <v>0.05</v>
      </c>
      <c r="K37" s="24"/>
      <c r="L37" s="47"/>
    </row>
    <row r="38" spans="2:12" x14ac:dyDescent="0.2">
      <c r="B38" s="33">
        <v>46047</v>
      </c>
      <c r="C38" s="34">
        <v>-5.2910891215025235E-2</v>
      </c>
      <c r="E38" s="2" t="s">
        <v>30</v>
      </c>
      <c r="F38" s="2">
        <v>13</v>
      </c>
      <c r="K38" s="24"/>
      <c r="L38" s="31"/>
    </row>
    <row r="39" spans="2:12" x14ac:dyDescent="0.2">
      <c r="B39" s="29">
        <v>46082</v>
      </c>
      <c r="C39" s="35">
        <v>-4.058528011507833E-2</v>
      </c>
      <c r="K39" s="24"/>
      <c r="L39" s="31"/>
    </row>
    <row r="40" spans="2:12" x14ac:dyDescent="0.2">
      <c r="B40" s="33">
        <v>46075</v>
      </c>
      <c r="C40" s="34">
        <v>-2.6702285558788097E-3</v>
      </c>
      <c r="E40" s="2" t="s">
        <v>31</v>
      </c>
      <c r="K40" s="24"/>
      <c r="L40" s="31"/>
    </row>
    <row r="41" spans="2:12" x14ac:dyDescent="0.2">
      <c r="B41" s="29">
        <v>46026</v>
      </c>
      <c r="C41" s="35">
        <v>-2.5854123358108358E-3</v>
      </c>
      <c r="E41" s="2" t="s">
        <v>32</v>
      </c>
      <c r="K41" s="24"/>
      <c r="L41" s="31"/>
    </row>
    <row r="42" spans="2:12" x14ac:dyDescent="0.2">
      <c r="B42" s="33">
        <v>46096</v>
      </c>
      <c r="C42" s="34">
        <v>3.3513343599254012E-3</v>
      </c>
      <c r="E42" s="48">
        <v>0.95</v>
      </c>
      <c r="F42" s="49" t="s">
        <v>33</v>
      </c>
      <c r="K42" s="24"/>
      <c r="L42" s="31"/>
    </row>
    <row r="43" spans="2:12" x14ac:dyDescent="0.2">
      <c r="B43" s="29">
        <v>46068</v>
      </c>
      <c r="C43" s="35">
        <v>8.7044406301463179E-3</v>
      </c>
      <c r="E43" s="48">
        <v>0.05</v>
      </c>
      <c r="F43" s="50">
        <f>(E43*13)/E42</f>
        <v>0.68421052631578949</v>
      </c>
      <c r="K43" s="24"/>
      <c r="L43" s="31"/>
    </row>
    <row r="44" spans="2:12" x14ac:dyDescent="0.2">
      <c r="B44" s="33">
        <v>46040</v>
      </c>
      <c r="C44" s="34">
        <v>9.5762391681102222E-3</v>
      </c>
      <c r="L44" s="31"/>
    </row>
    <row r="45" spans="2:12" x14ac:dyDescent="0.2">
      <c r="B45" s="29">
        <v>46061</v>
      </c>
      <c r="C45" s="35">
        <v>3.0729628615260674E-2</v>
      </c>
      <c r="E45" s="1" t="s">
        <v>34</v>
      </c>
      <c r="F45" s="1"/>
      <c r="L45" s="31"/>
    </row>
    <row r="46" spans="2:12" x14ac:dyDescent="0.2">
      <c r="B46" s="33">
        <v>46033</v>
      </c>
      <c r="C46" s="34">
        <v>3.7027823499551589E-2</v>
      </c>
      <c r="D46" s="4"/>
      <c r="E46" s="34">
        <v>-5.2910891215025235E-2</v>
      </c>
      <c r="F46" s="4"/>
    </row>
    <row r="47" spans="2:12" x14ac:dyDescent="0.2">
      <c r="B47" s="29">
        <v>46103</v>
      </c>
      <c r="C47" s="35">
        <v>4.4354780334670892E-2</v>
      </c>
      <c r="D47" s="9"/>
      <c r="E47" s="35">
        <v>-4.058528011507833E-2</v>
      </c>
      <c r="F47" s="4"/>
      <c r="I47" s="2" t="s">
        <v>35</v>
      </c>
      <c r="J47">
        <f>(C7-C10)/C10</f>
        <v>-0.10633333333333338</v>
      </c>
      <c r="K47" s="51">
        <f>J47</f>
        <v>-0.10633333333333338</v>
      </c>
    </row>
    <row r="48" spans="2:12" x14ac:dyDescent="0.2">
      <c r="B48" s="33">
        <v>46110</v>
      </c>
      <c r="C48" s="34">
        <v>4.7909196403309942E-2</v>
      </c>
      <c r="D48" s="9"/>
      <c r="E48" s="52"/>
      <c r="F48" s="4"/>
      <c r="I48" s="2" t="s">
        <v>36</v>
      </c>
    </row>
    <row r="49" spans="2:14" x14ac:dyDescent="0.2">
      <c r="B49" s="29">
        <v>46054</v>
      </c>
      <c r="C49" s="30">
        <v>7.0752889789348405E-2</v>
      </c>
      <c r="D49" s="9"/>
      <c r="E49" s="52"/>
      <c r="F49" s="4"/>
      <c r="I49" s="2" t="s">
        <v>37</v>
      </c>
    </row>
    <row r="50" spans="2:14" x14ac:dyDescent="0.2">
      <c r="D50" s="9"/>
      <c r="E50" s="52"/>
      <c r="F50" s="4"/>
    </row>
    <row r="51" spans="2:14" x14ac:dyDescent="0.2">
      <c r="B51" s="7"/>
      <c r="C51" s="8"/>
      <c r="D51" s="9"/>
      <c r="E51" s="52"/>
      <c r="F51" s="4"/>
    </row>
    <row r="52" spans="2:14" x14ac:dyDescent="0.2">
      <c r="B52" s="7"/>
      <c r="C52" s="8" t="s">
        <v>38</v>
      </c>
      <c r="D52" s="53">
        <f>(C37+C38)/2</f>
        <v>-6.1038905979177806E-2</v>
      </c>
      <c r="E52" s="52">
        <f>E20-E22*(0.10311/0.05)</f>
        <v>-7.8648835358653316E-2</v>
      </c>
      <c r="F52" s="24">
        <f>E52</f>
        <v>-7.8648835358653316E-2</v>
      </c>
    </row>
    <row r="53" spans="2:14" x14ac:dyDescent="0.2">
      <c r="B53" s="7"/>
      <c r="C53" s="8"/>
      <c r="D53" s="9"/>
      <c r="E53" s="52"/>
      <c r="F53" s="4"/>
    </row>
    <row r="54" spans="2:14" x14ac:dyDescent="0.2">
      <c r="B54" s="7"/>
      <c r="C54" s="8"/>
      <c r="D54" s="9"/>
      <c r="E54" s="52"/>
      <c r="F54" s="4"/>
      <c r="G54" s="54"/>
    </row>
    <row r="55" spans="2:14" x14ac:dyDescent="0.2">
      <c r="B55" s="7"/>
      <c r="C55" s="8"/>
      <c r="D55" s="9"/>
      <c r="E55" s="52"/>
      <c r="F55" s="4"/>
    </row>
    <row r="56" spans="2:14" x14ac:dyDescent="0.2">
      <c r="B56" s="7"/>
      <c r="C56" s="8"/>
      <c r="D56" s="9"/>
      <c r="E56" s="52"/>
      <c r="F56" s="4"/>
    </row>
    <row r="57" spans="2:14" x14ac:dyDescent="0.2">
      <c r="B57" s="7" t="s">
        <v>39</v>
      </c>
      <c r="C57" s="8"/>
      <c r="D57" s="9"/>
      <c r="E57" s="52"/>
      <c r="F57" s="4"/>
    </row>
    <row r="58" spans="2:14" x14ac:dyDescent="0.2">
      <c r="B58" s="7" t="s">
        <v>2</v>
      </c>
      <c r="C58" s="8" t="s">
        <v>40</v>
      </c>
      <c r="D58" s="9"/>
      <c r="E58" s="7" t="s">
        <v>2</v>
      </c>
      <c r="F58" s="8" t="s">
        <v>40</v>
      </c>
      <c r="H58" s="7" t="s">
        <v>2</v>
      </c>
      <c r="I58" s="8" t="s">
        <v>40</v>
      </c>
      <c r="K58" s="52" t="s">
        <v>41</v>
      </c>
      <c r="L58" s="4" t="s">
        <v>42</v>
      </c>
    </row>
    <row r="59" spans="2:14" x14ac:dyDescent="0.2">
      <c r="B59">
        <v>13</v>
      </c>
      <c r="C59" s="55">
        <v>29.5</v>
      </c>
      <c r="D59" s="9"/>
      <c r="E59">
        <v>13</v>
      </c>
      <c r="F59" s="8">
        <v>29.5</v>
      </c>
      <c r="H59">
        <v>13</v>
      </c>
      <c r="I59" s="8">
        <v>29.5</v>
      </c>
      <c r="K59" s="4" t="s">
        <v>43</v>
      </c>
      <c r="L59" s="56">
        <v>150</v>
      </c>
      <c r="M59" s="2" t="s">
        <v>44</v>
      </c>
    </row>
    <row r="60" spans="2:14" x14ac:dyDescent="0.2">
      <c r="B60">
        <v>14</v>
      </c>
      <c r="C60" s="57">
        <f ca="1">C59 * (1 + _xlfn.NORM.INV(RAND(), $E$20, $E$22))</f>
        <v>29.26748078989116</v>
      </c>
      <c r="D60" s="9"/>
      <c r="E60">
        <v>14</v>
      </c>
      <c r="F60" s="58">
        <f ca="1">F59 * (1 + _xlfn.NORM.INV(RAND(), $E$20, $E$22))</f>
        <v>31.271137454701602</v>
      </c>
      <c r="H60">
        <v>14</v>
      </c>
      <c r="I60" s="58">
        <f ca="1">I59 * (1 + _xlfn.NORM.INV(RAND(), $E$20, $E$22))</f>
        <v>30.884079253359072</v>
      </c>
      <c r="L60" s="8"/>
    </row>
    <row r="61" spans="2:14" x14ac:dyDescent="0.2">
      <c r="B61">
        <v>15</v>
      </c>
      <c r="C61" s="57">
        <f t="shared" ref="C61:C70" ca="1" si="2">C60 * (1 + _xlfn.NORM.INV(RAND(), $E$20, $E$22))</f>
        <v>28.355069322920876</v>
      </c>
      <c r="E61">
        <v>15</v>
      </c>
      <c r="F61" s="58">
        <f t="shared" ref="F61:F70" ca="1" si="3">F60 * (1 + _xlfn.NORM.INV(RAND(), $E$20, $E$22))</f>
        <v>32.395654377873527</v>
      </c>
      <c r="H61">
        <v>15</v>
      </c>
      <c r="I61" s="58">
        <f t="shared" ref="I61:I70" ca="1" si="4">I60 * (1 + _xlfn.NORM.INV(RAND(), $E$20, $E$22))</f>
        <v>32.079962617174296</v>
      </c>
      <c r="K61" s="56"/>
      <c r="L61" s="8"/>
    </row>
    <row r="62" spans="2:14" x14ac:dyDescent="0.2">
      <c r="B62">
        <v>16</v>
      </c>
      <c r="C62" s="57">
        <f t="shared" ca="1" si="2"/>
        <v>27.518002206876126</v>
      </c>
      <c r="D62" s="22"/>
      <c r="E62">
        <v>16</v>
      </c>
      <c r="F62" s="58">
        <f t="shared" ca="1" si="3"/>
        <v>31.638645680273232</v>
      </c>
      <c r="G62" s="4"/>
      <c r="H62">
        <v>16</v>
      </c>
      <c r="I62" s="58">
        <f t="shared" ca="1" si="4"/>
        <v>30.708411373450385</v>
      </c>
      <c r="K62" s="56"/>
      <c r="L62" s="8"/>
      <c r="N62" t="s">
        <v>45</v>
      </c>
    </row>
    <row r="63" spans="2:14" x14ac:dyDescent="0.2">
      <c r="B63">
        <v>17</v>
      </c>
      <c r="C63" s="57">
        <f t="shared" ca="1" si="2"/>
        <v>29.314907436124088</v>
      </c>
      <c r="D63" s="22"/>
      <c r="E63">
        <v>17</v>
      </c>
      <c r="F63" s="58">
        <f t="shared" ca="1" si="3"/>
        <v>32.491287565072078</v>
      </c>
      <c r="G63" s="4"/>
      <c r="H63">
        <v>17</v>
      </c>
      <c r="I63" s="58">
        <f t="shared" ca="1" si="4"/>
        <v>30.597076353861787</v>
      </c>
      <c r="K63" s="56"/>
      <c r="L63" s="8"/>
    </row>
    <row r="64" spans="2:14" x14ac:dyDescent="0.2">
      <c r="B64">
        <v>18</v>
      </c>
      <c r="C64" s="57">
        <f t="shared" ca="1" si="2"/>
        <v>28.710152147712325</v>
      </c>
      <c r="D64" s="22"/>
      <c r="E64">
        <v>18</v>
      </c>
      <c r="F64" s="58">
        <f t="shared" ca="1" si="3"/>
        <v>34.618777123147417</v>
      </c>
      <c r="G64" s="4"/>
      <c r="H64">
        <v>18</v>
      </c>
      <c r="I64" s="58">
        <f t="shared" ca="1" si="4"/>
        <v>29.516212881900806</v>
      </c>
      <c r="K64" s="56"/>
      <c r="L64" s="8"/>
    </row>
    <row r="65" spans="2:12" x14ac:dyDescent="0.2">
      <c r="B65">
        <v>19</v>
      </c>
      <c r="C65" s="57">
        <f t="shared" ca="1" si="2"/>
        <v>27.283915622728401</v>
      </c>
      <c r="D65" s="3"/>
      <c r="E65">
        <v>19</v>
      </c>
      <c r="F65" s="58">
        <f t="shared" ca="1" si="3"/>
        <v>35.209529153741414</v>
      </c>
      <c r="H65">
        <v>19</v>
      </c>
      <c r="I65" s="58">
        <f t="shared" ca="1" si="4"/>
        <v>30.640525206744918</v>
      </c>
      <c r="K65" s="56"/>
      <c r="L65" s="8"/>
    </row>
    <row r="66" spans="2:12" x14ac:dyDescent="0.2">
      <c r="B66">
        <v>20</v>
      </c>
      <c r="C66" s="57">
        <f t="shared" ca="1" si="2"/>
        <v>27.85195609054135</v>
      </c>
      <c r="D66" s="22"/>
      <c r="E66">
        <v>20</v>
      </c>
      <c r="F66" s="58">
        <f t="shared" ca="1" si="3"/>
        <v>34.285494482361322</v>
      </c>
      <c r="H66">
        <v>20</v>
      </c>
      <c r="I66" s="58">
        <f t="shared" ca="1" si="4"/>
        <v>32.013805636651249</v>
      </c>
      <c r="K66" s="56"/>
      <c r="L66" s="8"/>
    </row>
    <row r="67" spans="2:12" x14ac:dyDescent="0.2">
      <c r="B67">
        <v>21</v>
      </c>
      <c r="C67" s="57">
        <f t="shared" ca="1" si="2"/>
        <v>26.59288975108241</v>
      </c>
      <c r="D67" s="3"/>
      <c r="E67">
        <v>21</v>
      </c>
      <c r="F67" s="58">
        <f t="shared" ca="1" si="3"/>
        <v>36.35575076262036</v>
      </c>
      <c r="H67">
        <v>21</v>
      </c>
      <c r="I67" s="58">
        <f t="shared" ca="1" si="4"/>
        <v>33.250851014707692</v>
      </c>
      <c r="K67" s="56"/>
      <c r="L67" s="8"/>
    </row>
    <row r="68" spans="2:12" x14ac:dyDescent="0.2">
      <c r="B68">
        <v>22</v>
      </c>
      <c r="C68" s="57">
        <f t="shared" ca="1" si="2"/>
        <v>28.03398894096885</v>
      </c>
      <c r="D68" s="3"/>
      <c r="E68">
        <v>22</v>
      </c>
      <c r="F68" s="58">
        <f t="shared" ca="1" si="3"/>
        <v>36.615748890005719</v>
      </c>
      <c r="H68">
        <v>22</v>
      </c>
      <c r="I68" s="58">
        <f t="shared" ca="1" si="4"/>
        <v>32.887535794321614</v>
      </c>
      <c r="K68" s="56"/>
      <c r="L68" s="8"/>
    </row>
    <row r="69" spans="2:12" x14ac:dyDescent="0.2">
      <c r="B69">
        <v>23</v>
      </c>
      <c r="C69" s="57">
        <f t="shared" ca="1" si="2"/>
        <v>27.465411255588382</v>
      </c>
      <c r="D69" s="4"/>
      <c r="E69">
        <v>23</v>
      </c>
      <c r="F69" s="58">
        <f t="shared" ca="1" si="3"/>
        <v>36.275312232922502</v>
      </c>
      <c r="H69">
        <v>23</v>
      </c>
      <c r="I69" s="58">
        <f t="shared" ca="1" si="4"/>
        <v>33.426592496746551</v>
      </c>
      <c r="K69" s="56"/>
      <c r="L69" s="8"/>
    </row>
    <row r="70" spans="2:12" x14ac:dyDescent="0.2">
      <c r="B70">
        <v>24</v>
      </c>
      <c r="C70" s="57">
        <f t="shared" ca="1" si="2"/>
        <v>28.706942434471838</v>
      </c>
      <c r="E70">
        <v>24</v>
      </c>
      <c r="F70" s="58">
        <f t="shared" ca="1" si="3"/>
        <v>35.444464839870896</v>
      </c>
      <c r="H70">
        <v>24</v>
      </c>
      <c r="I70" s="58">
        <f t="shared" ca="1" si="4"/>
        <v>33.219229007774878</v>
      </c>
      <c r="K70" s="56"/>
      <c r="L70" s="8"/>
    </row>
    <row r="71" spans="2:12" x14ac:dyDescent="0.2">
      <c r="E71" s="56"/>
      <c r="F71" s="8"/>
    </row>
    <row r="72" spans="2:12" x14ac:dyDescent="0.2">
      <c r="C72" s="59">
        <f ca="1">AVERAGE(C59:C70)</f>
        <v>28.216726333242153</v>
      </c>
      <c r="E72"/>
      <c r="F72" s="59">
        <f ca="1">AVERAGE(F59:F70)</f>
        <v>33.841816880215838</v>
      </c>
      <c r="I72" s="59">
        <f ca="1">AVERAGE(I59:I70)</f>
        <v>31.560356803057768</v>
      </c>
    </row>
    <row r="73" spans="2:12" x14ac:dyDescent="0.2">
      <c r="E73"/>
    </row>
    <row r="74" spans="2:12" x14ac:dyDescent="0.2">
      <c r="B74" t="s">
        <v>46</v>
      </c>
      <c r="E74"/>
    </row>
    <row r="75" spans="2:12" x14ac:dyDescent="0.2">
      <c r="B75">
        <f>(44%*E20)+(55%*F20)</f>
        <v>9.6121237969742685E-4</v>
      </c>
      <c r="C75" t="s">
        <v>47</v>
      </c>
      <c r="E75"/>
    </row>
    <row r="76" spans="2:12" x14ac:dyDescent="0.2">
      <c r="B76">
        <f>((44%^2)*E21)+((44%*55%*E24))</f>
        <v>2.8608737071041156E-4</v>
      </c>
      <c r="C76">
        <f>SQRT(B76)</f>
        <v>1.6914117497239149E-2</v>
      </c>
      <c r="E76"/>
    </row>
    <row r="77" spans="2:12" x14ac:dyDescent="0.2">
      <c r="B77" s="60"/>
      <c r="E77"/>
    </row>
    <row r="78" spans="2:12" x14ac:dyDescent="0.2">
      <c r="B78" s="61" t="s">
        <v>48</v>
      </c>
      <c r="C78" s="61"/>
      <c r="E78"/>
    </row>
    <row r="79" spans="2:12" x14ac:dyDescent="0.2">
      <c r="B79" t="s">
        <v>0</v>
      </c>
      <c r="C79" t="s">
        <v>7</v>
      </c>
      <c r="D79" t="s">
        <v>49</v>
      </c>
      <c r="E79" t="s">
        <v>50</v>
      </c>
    </row>
    <row r="80" spans="2:12" x14ac:dyDescent="0.2">
      <c r="B80" s="62">
        <v>0.1</v>
      </c>
      <c r="C80" s="62">
        <v>0.9</v>
      </c>
      <c r="D80" s="63">
        <f>(B80*$E$20)+(C80*$F$20)</f>
        <v>-2.4565156225654929E-3</v>
      </c>
      <c r="E80" s="63">
        <f>SQRT(F80)</f>
        <v>9.1692025591924107E-3</v>
      </c>
      <c r="F80" s="64">
        <f>((B80^2)*($E$22^2)+(C80^2)*($F$22^2)+2*(B80*C80*$E$24))</f>
        <v>8.4074275571500659E-5</v>
      </c>
    </row>
    <row r="81" spans="2:6" x14ac:dyDescent="0.2">
      <c r="B81" s="65">
        <v>0.2</v>
      </c>
      <c r="C81" s="65">
        <v>0.8</v>
      </c>
      <c r="D81" s="63">
        <f t="shared" ref="D81:D88" si="5">(B81*$E$20)+(C81*$F$20)</f>
        <v>-1.4614532043727467E-3</v>
      </c>
      <c r="E81" s="63">
        <f t="shared" ref="E81:E88" si="6">SQRT(F81)</f>
        <v>1.0368299961060324E-2</v>
      </c>
      <c r="F81" s="64">
        <f t="shared" ref="F81:F88" si="7">((B81^2)*($E$22^2)+(C81^2)*($F$22^2)+2*(B81*C81*$E$24))</f>
        <v>1.0750164408252351E-4</v>
      </c>
    </row>
    <row r="82" spans="2:6" x14ac:dyDescent="0.2">
      <c r="B82" s="65">
        <v>0.3</v>
      </c>
      <c r="C82" s="65">
        <v>0.7</v>
      </c>
      <c r="D82" s="63">
        <f t="shared" si="5"/>
        <v>-4.6639078618000013E-4</v>
      </c>
      <c r="E82" s="63">
        <f t="shared" si="6"/>
        <v>1.3041998063218013E-2</v>
      </c>
      <c r="F82" s="64">
        <f t="shared" si="7"/>
        <v>1.7009371348098242E-4</v>
      </c>
    </row>
    <row r="83" spans="2:6" x14ac:dyDescent="0.2">
      <c r="B83" s="65">
        <v>0.4</v>
      </c>
      <c r="C83" s="65">
        <v>0.6</v>
      </c>
      <c r="D83" s="63">
        <f t="shared" si="5"/>
        <v>5.2867163201274648E-4</v>
      </c>
      <c r="E83" s="63">
        <f t="shared" si="6"/>
        <v>1.6487889002746153E-2</v>
      </c>
      <c r="F83" s="64">
        <f t="shared" si="7"/>
        <v>2.7185048376687749E-4</v>
      </c>
    </row>
    <row r="84" spans="2:6" x14ac:dyDescent="0.2">
      <c r="B84" s="65">
        <v>0.5</v>
      </c>
      <c r="C84" s="65">
        <v>0.5</v>
      </c>
      <c r="D84" s="63">
        <f t="shared" si="5"/>
        <v>1.5237340502054922E-3</v>
      </c>
      <c r="E84" s="63">
        <f t="shared" si="6"/>
        <v>2.0316789976278452E-2</v>
      </c>
      <c r="F84" s="64">
        <f t="shared" si="7"/>
        <v>4.1277195494020854E-4</v>
      </c>
    </row>
    <row r="85" spans="2:6" x14ac:dyDescent="0.2">
      <c r="B85" s="65">
        <v>0.6</v>
      </c>
      <c r="C85" s="65">
        <v>0.4</v>
      </c>
      <c r="D85" s="63">
        <f t="shared" si="5"/>
        <v>2.518796468398238E-3</v>
      </c>
      <c r="E85" s="63">
        <f t="shared" si="6"/>
        <v>2.4348678136625317E-2</v>
      </c>
      <c r="F85" s="64">
        <f t="shared" si="7"/>
        <v>5.9285812700097574E-4</v>
      </c>
    </row>
    <row r="86" spans="2:6" x14ac:dyDescent="0.2">
      <c r="B86" s="65">
        <v>0.7</v>
      </c>
      <c r="C86" s="65">
        <v>0.3</v>
      </c>
      <c r="D86" s="63">
        <f t="shared" si="5"/>
        <v>3.5138588865909841E-3</v>
      </c>
      <c r="E86" s="63">
        <f t="shared" si="6"/>
        <v>2.8497526207535609E-2</v>
      </c>
      <c r="F86" s="64">
        <f t="shared" si="7"/>
        <v>8.1210899994917888E-4</v>
      </c>
    </row>
    <row r="87" spans="2:6" x14ac:dyDescent="0.2">
      <c r="B87" s="65">
        <v>0.8</v>
      </c>
      <c r="C87" s="65">
        <v>0.2</v>
      </c>
      <c r="D87" s="63">
        <f t="shared" si="5"/>
        <v>4.508921304783732E-3</v>
      </c>
      <c r="E87" s="63">
        <f t="shared" si="6"/>
        <v>3.2718871829340607E-2</v>
      </c>
      <c r="F87" s="64">
        <f t="shared" si="7"/>
        <v>1.0705245737848185E-3</v>
      </c>
    </row>
    <row r="88" spans="2:6" x14ac:dyDescent="0.2">
      <c r="B88" s="65">
        <v>0.9</v>
      </c>
      <c r="C88" s="65">
        <v>0.1</v>
      </c>
      <c r="D88" s="63">
        <f t="shared" si="5"/>
        <v>5.5039837229764778E-3</v>
      </c>
      <c r="E88" s="63">
        <f t="shared" si="6"/>
        <v>3.6987901380152594E-2</v>
      </c>
      <c r="F88" s="64">
        <f t="shared" si="7"/>
        <v>1.3681048485078941E-3</v>
      </c>
    </row>
    <row r="89" spans="2:6" x14ac:dyDescent="0.2">
      <c r="B89" s="65"/>
      <c r="C89" s="65"/>
      <c r="D89" s="63"/>
      <c r="E89" s="63"/>
    </row>
    <row r="90" spans="2:6" x14ac:dyDescent="0.2">
      <c r="B90" s="65"/>
      <c r="C90" s="65"/>
      <c r="D90" s="63"/>
      <c r="E90" s="63"/>
    </row>
    <row r="91" spans="2:6" x14ac:dyDescent="0.2">
      <c r="E91"/>
    </row>
    <row r="92" spans="2:6" x14ac:dyDescent="0.2">
      <c r="E92"/>
    </row>
    <row r="93" spans="2:6" x14ac:dyDescent="0.2">
      <c r="E93"/>
    </row>
    <row r="94" spans="2:6" x14ac:dyDescent="0.2">
      <c r="E94"/>
    </row>
    <row r="95" spans="2:6" x14ac:dyDescent="0.2">
      <c r="E95"/>
    </row>
    <row r="96" spans="2:6" x14ac:dyDescent="0.2">
      <c r="E96"/>
    </row>
    <row r="97" spans="5:5" x14ac:dyDescent="0.2">
      <c r="E97"/>
    </row>
    <row r="98" spans="5:5" x14ac:dyDescent="0.2">
      <c r="E98"/>
    </row>
    <row r="99" spans="5:5" x14ac:dyDescent="0.2">
      <c r="E99"/>
    </row>
    <row r="100" spans="5:5" x14ac:dyDescent="0.2">
      <c r="E100"/>
    </row>
    <row r="101" spans="5:5" x14ac:dyDescent="0.2">
      <c r="E101"/>
    </row>
    <row r="102" spans="5:5" x14ac:dyDescent="0.2">
      <c r="E102"/>
    </row>
    <row r="103" spans="5:5" x14ac:dyDescent="0.2">
      <c r="E103"/>
    </row>
    <row r="104" spans="5:5" x14ac:dyDescent="0.2">
      <c r="E104"/>
    </row>
    <row r="105" spans="5:5" x14ac:dyDescent="0.2">
      <c r="E105"/>
    </row>
    <row r="106" spans="5:5" x14ac:dyDescent="0.2">
      <c r="E106"/>
    </row>
    <row r="108" spans="5:5" x14ac:dyDescent="0.2">
      <c r="E108"/>
    </row>
    <row r="109" spans="5:5" x14ac:dyDescent="0.2">
      <c r="E109"/>
    </row>
    <row r="110" spans="5:5" x14ac:dyDescent="0.2">
      <c r="E110"/>
    </row>
    <row r="111" spans="5:5" x14ac:dyDescent="0.2">
      <c r="E111"/>
    </row>
    <row r="112" spans="5:5" x14ac:dyDescent="0.2">
      <c r="E112"/>
    </row>
    <row r="113" spans="5:5" x14ac:dyDescent="0.2">
      <c r="E113"/>
    </row>
    <row r="114" spans="5:5" x14ac:dyDescent="0.2">
      <c r="E114"/>
    </row>
    <row r="115" spans="5:5" x14ac:dyDescent="0.2">
      <c r="E115"/>
    </row>
    <row r="116" spans="5:5" x14ac:dyDescent="0.2">
      <c r="E116"/>
    </row>
    <row r="117" spans="5:5" x14ac:dyDescent="0.2">
      <c r="E117"/>
    </row>
    <row r="118" spans="5:5" x14ac:dyDescent="0.2">
      <c r="E118"/>
    </row>
    <row r="119" spans="5:5" x14ac:dyDescent="0.2">
      <c r="E119"/>
    </row>
    <row r="120" spans="5:5" x14ac:dyDescent="0.2">
      <c r="E120"/>
    </row>
    <row r="121" spans="5:5" x14ac:dyDescent="0.2">
      <c r="E121"/>
    </row>
    <row r="122" spans="5:5" x14ac:dyDescent="0.2">
      <c r="E122"/>
    </row>
    <row r="123" spans="5:5" x14ac:dyDescent="0.2">
      <c r="E123"/>
    </row>
    <row r="124" spans="5:5" x14ac:dyDescent="0.2">
      <c r="E124"/>
    </row>
    <row r="125" spans="5:5" x14ac:dyDescent="0.2">
      <c r="E125"/>
    </row>
    <row r="126" spans="5:5" x14ac:dyDescent="0.2">
      <c r="E126"/>
    </row>
    <row r="127" spans="5:5" x14ac:dyDescent="0.2">
      <c r="E127"/>
    </row>
    <row r="128" spans="5:5" x14ac:dyDescent="0.2">
      <c r="E128"/>
    </row>
    <row r="129" spans="5:5" x14ac:dyDescent="0.2">
      <c r="E129"/>
    </row>
    <row r="130" spans="5:5" x14ac:dyDescent="0.2">
      <c r="E130"/>
    </row>
    <row r="131" spans="5:5" x14ac:dyDescent="0.2">
      <c r="E131"/>
    </row>
    <row r="132" spans="5:5" x14ac:dyDescent="0.2">
      <c r="E132"/>
    </row>
    <row r="133" spans="5:5" x14ac:dyDescent="0.2">
      <c r="E133"/>
    </row>
    <row r="134" spans="5:5" x14ac:dyDescent="0.2">
      <c r="E134"/>
    </row>
    <row r="135" spans="5:5" x14ac:dyDescent="0.2">
      <c r="E135"/>
    </row>
    <row r="136" spans="5:5" x14ac:dyDescent="0.2">
      <c r="E136"/>
    </row>
    <row r="137" spans="5:5" x14ac:dyDescent="0.2">
      <c r="E137"/>
    </row>
    <row r="138" spans="5:5" x14ac:dyDescent="0.2">
      <c r="E138"/>
    </row>
    <row r="139" spans="5:5" x14ac:dyDescent="0.2">
      <c r="E139"/>
    </row>
    <row r="140" spans="5:5" x14ac:dyDescent="0.2">
      <c r="E140"/>
    </row>
    <row r="141" spans="5:5" x14ac:dyDescent="0.2">
      <c r="E141"/>
    </row>
    <row r="142" spans="5:5" x14ac:dyDescent="0.2">
      <c r="E142"/>
    </row>
    <row r="143" spans="5:5" x14ac:dyDescent="0.2">
      <c r="E143"/>
    </row>
    <row r="144" spans="5:5" x14ac:dyDescent="0.2">
      <c r="E144"/>
    </row>
    <row r="145" spans="5:5" x14ac:dyDescent="0.2">
      <c r="E145"/>
    </row>
    <row r="146" spans="5:5" x14ac:dyDescent="0.2">
      <c r="E146"/>
    </row>
    <row r="147" spans="5:5" x14ac:dyDescent="0.2">
      <c r="E147"/>
    </row>
    <row r="148" spans="5:5" x14ac:dyDescent="0.2">
      <c r="E148"/>
    </row>
    <row r="149" spans="5:5" x14ac:dyDescent="0.2">
      <c r="E149"/>
    </row>
    <row r="150" spans="5:5" x14ac:dyDescent="0.2">
      <c r="E150"/>
    </row>
    <row r="151" spans="5:5" x14ac:dyDescent="0.2">
      <c r="E151"/>
    </row>
    <row r="152" spans="5:5" x14ac:dyDescent="0.2">
      <c r="E152"/>
    </row>
    <row r="153" spans="5:5" x14ac:dyDescent="0.2">
      <c r="E153"/>
    </row>
    <row r="154" spans="5:5" x14ac:dyDescent="0.2">
      <c r="E154"/>
    </row>
    <row r="155" spans="5:5" x14ac:dyDescent="0.2">
      <c r="E155"/>
    </row>
    <row r="156" spans="5:5" x14ac:dyDescent="0.2">
      <c r="E156"/>
    </row>
    <row r="157" spans="5:5" x14ac:dyDescent="0.2">
      <c r="E157"/>
    </row>
    <row r="158" spans="5:5" x14ac:dyDescent="0.2">
      <c r="E158"/>
    </row>
    <row r="159" spans="5:5" x14ac:dyDescent="0.2">
      <c r="E159"/>
    </row>
    <row r="160" spans="5:5" x14ac:dyDescent="0.2">
      <c r="E160"/>
    </row>
    <row r="161" spans="5:5" x14ac:dyDescent="0.2">
      <c r="E161"/>
    </row>
    <row r="162" spans="5:5" x14ac:dyDescent="0.2">
      <c r="E162"/>
    </row>
    <row r="163" spans="5:5" x14ac:dyDescent="0.2">
      <c r="E163"/>
    </row>
    <row r="164" spans="5:5" x14ac:dyDescent="0.2">
      <c r="E164"/>
    </row>
    <row r="165" spans="5:5" x14ac:dyDescent="0.2">
      <c r="E165"/>
    </row>
    <row r="166" spans="5:5" x14ac:dyDescent="0.2">
      <c r="E166"/>
    </row>
    <row r="167" spans="5:5" x14ac:dyDescent="0.2">
      <c r="E167"/>
    </row>
    <row r="168" spans="5:5" x14ac:dyDescent="0.2">
      <c r="E168"/>
    </row>
    <row r="169" spans="5:5" x14ac:dyDescent="0.2">
      <c r="E169"/>
    </row>
    <row r="170" spans="5:5" x14ac:dyDescent="0.2">
      <c r="E170"/>
    </row>
    <row r="171" spans="5:5" x14ac:dyDescent="0.2">
      <c r="E171"/>
    </row>
    <row r="172" spans="5:5" x14ac:dyDescent="0.2">
      <c r="E172"/>
    </row>
    <row r="173" spans="5:5" x14ac:dyDescent="0.2">
      <c r="E173"/>
    </row>
    <row r="174" spans="5:5" x14ac:dyDescent="0.2">
      <c r="E174"/>
    </row>
    <row r="175" spans="5:5" x14ac:dyDescent="0.2">
      <c r="E175"/>
    </row>
    <row r="176" spans="5:5" x14ac:dyDescent="0.2">
      <c r="E176"/>
    </row>
    <row r="177" spans="5:5" x14ac:dyDescent="0.2">
      <c r="E177"/>
    </row>
    <row r="178" spans="5:5" x14ac:dyDescent="0.2">
      <c r="E178"/>
    </row>
    <row r="179" spans="5:5" x14ac:dyDescent="0.2">
      <c r="E179"/>
    </row>
    <row r="180" spans="5:5" x14ac:dyDescent="0.2">
      <c r="E180"/>
    </row>
    <row r="181" spans="5:5" x14ac:dyDescent="0.2">
      <c r="E181"/>
    </row>
    <row r="182" spans="5:5" x14ac:dyDescent="0.2">
      <c r="E182"/>
    </row>
    <row r="183" spans="5:5" x14ac:dyDescent="0.2">
      <c r="E183"/>
    </row>
    <row r="184" spans="5:5" x14ac:dyDescent="0.2">
      <c r="E184"/>
    </row>
    <row r="185" spans="5:5" x14ac:dyDescent="0.2">
      <c r="E185"/>
    </row>
    <row r="186" spans="5:5" x14ac:dyDescent="0.2">
      <c r="E186"/>
    </row>
    <row r="187" spans="5:5" x14ac:dyDescent="0.2">
      <c r="E187"/>
    </row>
    <row r="188" spans="5:5" x14ac:dyDescent="0.2">
      <c r="E188"/>
    </row>
    <row r="189" spans="5:5" x14ac:dyDescent="0.2">
      <c r="E189"/>
    </row>
    <row r="190" spans="5:5" x14ac:dyDescent="0.2">
      <c r="E190"/>
    </row>
    <row r="191" spans="5:5" x14ac:dyDescent="0.2">
      <c r="E191"/>
    </row>
    <row r="192" spans="5:5" x14ac:dyDescent="0.2">
      <c r="E192"/>
    </row>
    <row r="193" spans="5:5" x14ac:dyDescent="0.2">
      <c r="E193"/>
    </row>
    <row r="194" spans="5:5" x14ac:dyDescent="0.2">
      <c r="E194"/>
    </row>
  </sheetData>
  <mergeCells count="1">
    <mergeCell ref="B78:C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иαуєℓℓι яσмєяσ ℓσρєz</dc:creator>
  <cp:lastModifiedBy>иαуєℓℓι яσмєяσ ℓσρєz</cp:lastModifiedBy>
  <dcterms:created xsi:type="dcterms:W3CDTF">2026-05-08T03:09:02Z</dcterms:created>
  <dcterms:modified xsi:type="dcterms:W3CDTF">2026-05-08T03:10:12Z</dcterms:modified>
</cp:coreProperties>
</file>